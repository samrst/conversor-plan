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am.sampaio\Downloads\projeto conversor\"/>
    </mc:Choice>
  </mc:AlternateContent>
  <xr:revisionPtr revIDLastSave="0" documentId="13_ncr:1_{76B9CEBC-F933-423C-B1A9-234C5E0137C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  <sheet name="Listagem de dados " sheetId="4" r:id="rId2"/>
    <sheet name="Associação" sheetId="3" r:id="rId3"/>
  </sheets>
  <definedNames>
    <definedName name="_xlcn.WorksheetConnection_PlanilhaAvaliaçãoPratica.xlsxTabela1" hidden="1">Tabela1[]</definedName>
    <definedName name="_xlcn.WorksheetConnection_PlanilhaAvaliaçãoPratica.xlsxTabela5" hidden="1">Tabela5</definedName>
    <definedName name="Alagoinhas">'Listagem de dados '!$A$2:$A$9</definedName>
    <definedName name="Barreiras">'Listagem de dados '!$B$2:$B$9</definedName>
    <definedName name="Camacari">'Listagem de dados '!$C$2:$C$10</definedName>
    <definedName name="Candeias">'Listagem de dados '!$M$2:$M$6</definedName>
    <definedName name="CIMATEC">'Listagem de dados '!$D$2:$D$15</definedName>
    <definedName name="Dendezeiros">'Listagem de dados '!$E$2:$E$14</definedName>
    <definedName name="Feira_de_Santana">'Listagem de dados '!$F$2:FE$15</definedName>
    <definedName name="Ilheus">'Listagem de dados '!$H$2:$H$7</definedName>
    <definedName name="Juazeiro">'Listagem de dados '!$I$2:$I$5</definedName>
    <definedName name="Lauro_de_Freitas">'Listagem de dados '!$J$2:$J$13</definedName>
    <definedName name="Luis_Eduardo">'Listagem de dados '!$K$2:$K$4</definedName>
    <definedName name="NomedoIntervalo">VLOOKUP(Worksheet!$B1, TabelaMapeamento[], 2, FALSE)</definedName>
    <definedName name="Teixeira_de_Freitas">'Listagem de dados '!$G$2:$G$8</definedName>
    <definedName name="unidades">'Listagem de dados '!$A$1:$M$1</definedName>
    <definedName name="Vitoria_da_Conquista">'Listagem de dados '!$L$2:$L$6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Planilha Avaliação Pratica.xlsx!Tabela5"/>
          <x15:modelTable id="Tabela1" name="Tabela1" connection="WorksheetConnection_Planilha Avaliação Pratica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3086-0041-4F92-9DE5-798115A5D90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78A64-891D-485F-8ABB-A9C51FFC1206}" name="WorksheetConnection_Planilha Avaliação Pratic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AvaliaçãoPratica.xlsxTabela1"/>
        </x15:connection>
      </ext>
    </extLst>
  </connection>
  <connection id="3" xr16:uid="{EF9D9D0B-BEB4-41B8-9346-1C75F6E3E243}" name="WorksheetConnection_Planilha Avaliação Pratic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PlanilhaAvaliaçãoPratica.xlsxTabela5"/>
        </x15:connection>
      </ext>
    </extLst>
  </connection>
</connections>
</file>

<file path=xl/sharedStrings.xml><?xml version="1.0" encoding="utf-8"?>
<sst xmlns="http://schemas.openxmlformats.org/spreadsheetml/2006/main" count="161" uniqueCount="66">
  <si>
    <t>Departamento Regional (DR)</t>
  </si>
  <si>
    <t>Unidade operacional (Escola)</t>
  </si>
  <si>
    <t>Curso</t>
  </si>
  <si>
    <t>Modalidade</t>
  </si>
  <si>
    <t>Total</t>
  </si>
  <si>
    <t>SENAI Camaçari</t>
  </si>
  <si>
    <t>Técnico Em Administração</t>
  </si>
  <si>
    <t>SENAI Alagoinhas</t>
  </si>
  <si>
    <t>SENAI Barreiras</t>
  </si>
  <si>
    <t>SENAI CIMATEC</t>
  </si>
  <si>
    <t>SENAI Dendezeiros</t>
  </si>
  <si>
    <t>SENAI Feira de Santana</t>
  </si>
  <si>
    <t>SENAI Ilhéus</t>
  </si>
  <si>
    <t>SENAI Juazeiro</t>
  </si>
  <si>
    <t>SENAI Lauro de Freitas</t>
  </si>
  <si>
    <t>SENAI Luís Eduardo Magalhães</t>
  </si>
  <si>
    <t>SENAI Vitória da Conquista</t>
  </si>
  <si>
    <t>TÉCNICO EM DESENVOLVIMENTO DE SISTEMAS</t>
  </si>
  <si>
    <t>Técnico Em Eletromecânica</t>
  </si>
  <si>
    <t>Técnico Em Automação Industrial</t>
  </si>
  <si>
    <t>Técnico Em Eletrotécnica</t>
  </si>
  <si>
    <t>Técnico Em Logística</t>
  </si>
  <si>
    <t>Técnico Em Planejamento E Controle Da Produção</t>
  </si>
  <si>
    <t>Técnico Em Segurança Do Trabalho</t>
  </si>
  <si>
    <t>Técnico Em Química</t>
  </si>
  <si>
    <t>1</t>
  </si>
  <si>
    <t>2</t>
  </si>
  <si>
    <t>Alagoinhas</t>
  </si>
  <si>
    <t>Barreiras</t>
  </si>
  <si>
    <t>Camacari</t>
  </si>
  <si>
    <t>CIMATEC</t>
  </si>
  <si>
    <t>Dendezeiros</t>
  </si>
  <si>
    <t>Feira_de_Santana</t>
  </si>
  <si>
    <t>Ilheus</t>
  </si>
  <si>
    <t>Juazeiro</t>
  </si>
  <si>
    <t>Lauro_de_freitas</t>
  </si>
  <si>
    <t>Luis_Eduardo</t>
  </si>
  <si>
    <t>Vitoria_da_Conquista</t>
  </si>
  <si>
    <t>Técnico Em Qualidade</t>
  </si>
  <si>
    <t>Técnico Em Edificações</t>
  </si>
  <si>
    <t>Técnico Em Eletroeletrônica</t>
  </si>
  <si>
    <t>Técnico Em Biotecnologia</t>
  </si>
  <si>
    <t>Técnico Em Fabricação Mecânica</t>
  </si>
  <si>
    <t>Técnico Em Informática Para Internet</t>
  </si>
  <si>
    <t>Técnico Em Manutenção Automotiva</t>
  </si>
  <si>
    <t>Técnico Em Mecatrônica</t>
  </si>
  <si>
    <t>Técnico Em Mecânica</t>
  </si>
  <si>
    <t>Técnico Em Multimídia</t>
  </si>
  <si>
    <t>Técnico Em Petroquímica</t>
  </si>
  <si>
    <t>Técnico Em Redes De Computadores</t>
  </si>
  <si>
    <t>Técnico Em Refrigeração E Climatização</t>
  </si>
  <si>
    <t>Turma</t>
  </si>
  <si>
    <t xml:space="preserve">Alunos </t>
  </si>
  <si>
    <t>Alunos Aptos</t>
  </si>
  <si>
    <t>Alunos Inaptos</t>
  </si>
  <si>
    <t>Alunos Agendados</t>
  </si>
  <si>
    <t>Alunos Não Agendados</t>
  </si>
  <si>
    <t>Presentes</t>
  </si>
  <si>
    <t>Ausentes</t>
  </si>
  <si>
    <t>Ausentes (%)</t>
  </si>
  <si>
    <t>Presentes (%)</t>
  </si>
  <si>
    <r>
      <t xml:space="preserve">                    </t>
    </r>
    <r>
      <rPr>
        <b/>
        <sz val="48"/>
        <color theme="0"/>
        <rFont val="Calibri"/>
        <family val="2"/>
      </rPr>
      <t>SAEP - Prova Objetiva</t>
    </r>
  </si>
  <si>
    <t>SENAI Teixeira de Freitas</t>
  </si>
  <si>
    <t>Teixeira_de_Freitas</t>
  </si>
  <si>
    <t>SENAI Candeias</t>
  </si>
  <si>
    <t>Candeias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</si>
</sst>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8"/>
      <name val="Calibri"/>
      <family val="2"/>
    </font>
    <font>
      <sz val="48"/>
      <color theme="0"/>
      <name val="Calibri"/>
      <family val="2"/>
    </font>
    <font>
      <b/>
      <sz val="4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579A"/>
        <bgColor rgb="FF000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1" fillId="0" borderId="0" xfId="0" applyFont="1"/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2A579A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285750</xdr:rowOff>
    </xdr:from>
    <xdr:to>
      <xdr:col>1</xdr:col>
      <xdr:colOff>295275</xdr:colOff>
      <xdr:row>0</xdr:row>
      <xdr:rowOff>838800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6B32D9-D450-4446-92A8-74A6257BD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2" t="37239" r="912" b="37240"/>
        <a:stretch>
          <a:fillRect/>
        </a:stretch>
      </xdr:blipFill>
      <xdr:spPr>
        <a:xfrm>
          <a:off x="257175" y="285750"/>
          <a:ext cx="2124075" cy="55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81E2-27B5-4C8A-85D1-A393D9831B8B}" name="Tabela1" displayName="Tabela1" ref="A2:N5" totalsRowCount="1" headerRowDxfId="20">
  <autoFilter ref="A2:N4" xr:uid="{A3E481E2-27B5-4C8A-85D1-A393D9831B8B}"/>
  <sortState xmlns:xlrd2="http://schemas.microsoft.com/office/spreadsheetml/2017/richdata2" ref="A3:M4">
    <sortCondition ref="C2:C9"/>
  </sortState>
  <tableColumns count="14">
    <tableColumn id="1" xr3:uid="{E98007AB-E91C-4E5A-9004-0BF7311E5451}" name="Departamento Regional (DR)" totalsRowLabel="Total" dataDxfId="19" totalsRowDxfId="10"/>
    <tableColumn id="2" xr3:uid="{06F67876-53A9-477A-95A9-C7B29EFB0657}" name="Unidade operacional (Escola)"/>
    <tableColumn id="3" xr3:uid="{EA60C0CD-347E-4858-B4C4-AFBBDDBFA1F1}" name="Curso"/>
    <tableColumn id="11" xr3:uid="{E4035624-E2C5-4B94-BEAF-CDBC8DC43F3C}" name="Modalidade"/>
    <tableColumn id="21" xr3:uid="{CB71477F-D133-4E68-B115-37481D285D45}" name="Turma" totalsRowDxfId="9"/>
    <tableColumn id="20" xr3:uid="{993B3EF2-F0FB-400E-8B16-EA2051658B7A}" name="Alunos " totalsRowFunction="sum" totalsRowDxfId="8"/>
    <tableColumn id="6" xr3:uid="{9251F193-6ECE-4B95-B483-A4AEFDF298DE}" name="Alunos Aptos" totalsRowFunction="sum" dataDxfId="18" totalsRowDxfId="7"/>
    <tableColumn id="7" xr3:uid="{B4A3CB5F-2B5F-4ED4-B9F4-FC36AC62B4FF}" name="Alunos Inaptos" totalsRowFunction="sum" dataDxfId="17" totalsRowDxfId="6" dataCellStyle="Porcentagem"/>
    <tableColumn id="8" xr3:uid="{408844C8-A692-42F4-A21C-7206952CE077}" name="Alunos Agendados" totalsRowFunction="sum" dataDxfId="16" totalsRowDxfId="5"/>
    <tableColumn id="9" xr3:uid="{BDBD46F2-382E-4CC4-A4D8-DD888EE6F1CE}" name="Alunos Não Agendados" totalsRowFunction="sum" dataDxfId="15" totalsRowDxfId="4" dataCellStyle="Porcentagem"/>
    <tableColumn id="10" xr3:uid="{8BE8E6B6-1FC0-4E31-8D84-51F309EBF434}" name="Presentes" totalsRowFunction="sum" dataDxfId="14" totalsRowDxfId="3"/>
    <tableColumn id="23" xr3:uid="{FB288D6E-2249-41D2-8128-A3C7A2C2D559}" name="Presentes (%)" totalsRowFunction="average" dataDxfId="13" totalsRowDxfId="2"/>
    <tableColumn id="12" xr3:uid="{20BC1AAC-2D3A-42CB-A829-9A3FE8E82882}" name="Ausentes" totalsRowFunction="sum" dataDxfId="12" totalsRowDxfId="1"/>
    <tableColumn id="22" xr3:uid="{FACF7C3E-4B28-4341-B5E4-3785583316AD}" name="Ausentes (%)" totalsRowFunction="average" dataDxfId="11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D0466-0F92-4DE3-8AF1-D58035DB6DE0}" name="TabelaMapeamento" displayName="TabelaMapeamento" ref="A1:B14" totalsRowShown="0">
  <autoFilter ref="A1:B14" xr:uid="{DABD0466-0F92-4DE3-8AF1-D58035DB6DE0}"/>
  <tableColumns count="2">
    <tableColumn id="1" xr3:uid="{249A478E-AD78-46B3-8860-5A9F1AAE53F6}" name="1"/>
    <tableColumn id="2" xr3:uid="{0E6BC943-93CC-4772-869C-912E574C39B9}" name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N5"/>
  <sheetViews>
    <sheetView tabSelected="1" zoomScaleNormal="100" workbookViewId="0">
      <selection activeCell="C22" sqref="C22"/>
    </sheetView>
  </sheetViews>
  <sheetFormatPr defaultRowHeight="15"/>
  <cols>
    <col min="1" max="1" width="31.28515625" customWidth="1"/>
    <col min="2" max="2" width="29.28515625" customWidth="1"/>
    <col min="3" max="3" width="45.85546875" bestFit="1" customWidth="1"/>
    <col min="4" max="4" width="16.28515625" bestFit="1" customWidth="1"/>
    <col min="5" max="5" width="24" customWidth="1"/>
    <col min="6" max="6" width="20.7109375" customWidth="1"/>
    <col min="7" max="7" width="23.7109375" customWidth="1"/>
    <col min="8" max="8" width="21" customWidth="1"/>
    <col min="9" max="9" width="22.42578125" customWidth="1"/>
    <col min="10" max="10" width="26.42578125" bestFit="1" customWidth="1"/>
    <col min="11" max="11" width="19.28515625" customWidth="1"/>
    <col min="12" max="12" width="18.85546875" customWidth="1"/>
    <col min="13" max="13" width="22" customWidth="1"/>
    <col min="14" max="14" width="21.85546875" style="7" bestFit="1" customWidth="1"/>
    <col min="15" max="15" width="26.28515625" style="7" bestFit="1" customWidth="1"/>
  </cols>
  <sheetData>
    <row r="1" spans="1:15" s="12" customFormat="1" ht="82.5" customHeight="1">
      <c r="A1" s="11" t="inlineStr">
        <is>
          <t xml:space="preserve">                    SAEP - Prova Objetiva</t>
        </is>
      </c>
    </row>
    <row r="2" spans="1:15" s="1" customFormat="1" ht="16.5" customHeight="1">
      <c r="A2" s="1" t="inlineStr">
        <is>
          <t>Departamento Regional (DR)</t>
        </is>
      </c>
      <c r="B2" s="1" t="inlineStr">
        <is>
          <t>Unidade operacional (Escola)</t>
        </is>
      </c>
      <c r="C2" s="1" t="inlineStr">
        <is>
          <t>Curso</t>
        </is>
      </c>
      <c r="D2" s="1" t="inlineStr">
        <is>
          <t>Modalidade</t>
        </is>
      </c>
      <c r="E2" s="1" t="inlineStr">
        <is>
          <t>Turma</t>
        </is>
      </c>
      <c r="F2" s="1" t="inlineStr">
        <is>
          <t>Alunos </t>
        </is>
      </c>
      <c r="G2" s="1" t="inlineStr">
        <is>
          <t>Alunos Aptos</t>
        </is>
      </c>
      <c r="H2" s="1" t="inlineStr">
        <is>
          <t>Alunos Inaptos</t>
        </is>
      </c>
      <c r="I2" s="1" t="inlineStr">
        <is>
          <t>Alunos Agendados</t>
        </is>
      </c>
      <c r="J2" s="1" t="inlineStr">
        <is>
          <t>Alunos Não Agendados</t>
        </is>
      </c>
      <c r="K2" s="1" t="inlineStr">
        <is>
          <t>Presentes</t>
        </is>
      </c>
      <c r="L2" s="1" t="inlineStr">
        <is>
          <t>Presentes (%)</t>
        </is>
      </c>
      <c r="M2" s="1" t="inlineStr">
        <is>
          <t>Ausentes</t>
        </is>
      </c>
      <c r="N2" s="1" t="inlineStr">
        <is>
          <t>Ausentes (%)</t>
        </is>
      </c>
    </row>
    <row r="3" spans="1:15" ht="15.75" customHeight="1">
      <c r="A3" t="inlineStr">
        <is>
          <t>SENAI-BA</t>
        </is>
      </c>
      <c r="B3" t="inlineStr">
        <is>
          <t>SENAI Dendezeiros</t>
        </is>
      </c>
      <c r="C3" t="inlineStr">
        <is>
          <t>Técnico em Automação Industrial</t>
        </is>
      </c>
      <c r="D3" t="inlineStr">
        <is>
          <t>Presencial</t>
        </is>
      </c>
      <c r="E3" t="inlineStr">
        <is>
          <t>AUT01</t>
        </is>
      </c>
      <c r="F3" s="7">
        <v>30</v>
      </c>
      <c r="G3" s="5">
        <v>25</v>
      </c>
      <c r="H3" s="9">
        <v>5</v>
      </c>
      <c r="I3" s="5">
        <v>20</v>
      </c>
      <c r="J3" s="9">
        <v>5</v>
      </c>
      <c r="K3" s="5">
        <v>18</v>
      </c>
      <c r="L3" s="5">
        <v>0.9000</v>
      </c>
      <c r="M3" s="5">
        <v>2</v>
      </c>
      <c r="N3" s="5">
        <v>0.1000</v>
      </c>
    </row>
    <row r="4" spans="1:15" ht="15.75" customHeight="1">
      <c r="A4" t="inlineStr">
        <is>
          <t>SENAI-BA</t>
        </is>
      </c>
      <c r="B4" t="inlineStr">
        <is>
          <t>Lauro de Freitas</t>
        </is>
      </c>
      <c r="C4" t="inlineStr">
        <is>
          <t>Técnico em Ciência de Dados</t>
        </is>
      </c>
      <c r="D4" t="inlineStr">
        <is>
          <t>Semipresencial</t>
        </is>
      </c>
      <c r="E4" t="inlineStr">
        <is>
          <t>CD001</t>
        </is>
      </c>
      <c r="F4" s="7">
        <v>40</v>
      </c>
      <c r="G4" s="5">
        <v>35</v>
      </c>
      <c r="H4" s="9">
        <v>5</v>
      </c>
      <c r="I4" s="5">
        <v>30</v>
      </c>
      <c r="J4" s="9">
        <v>5</v>
      </c>
      <c r="K4" s="5">
        <v>27</v>
      </c>
      <c r="L4" s="5">
        <v>0.9000</v>
      </c>
      <c r="M4" s="5">
        <v>3</v>
      </c>
      <c r="N4" s="5">
        <v>0.1000</v>
      </c>
    </row>
    <row r="5" spans="1:15" customFormat="1">
      <c r="A5" s="6" t="inlineStr">
        <is>
          <t>Total</t>
        </is>
      </c>
      <c r="E5" s="7"/>
      <c r="F5" s="7">
        <f>SUBTOTAL(109,Tabela1[[Alunos ]])</f>
        <v>70</v>
      </c>
      <c r="G5" s="5">
        <f>SUBTOTAL(109,Tabela1[Alunos Aptos])</f>
        <v>60</v>
      </c>
      <c r="H5" s="5">
        <f>SUBTOTAL(109,Tabela1[Alunos Inaptos])</f>
        <v>10</v>
      </c>
      <c r="I5" s="5">
        <f>SUBTOTAL(109,Tabela1[Alunos Agendados])</f>
        <v>50</v>
      </c>
      <c r="J5" s="5">
        <f>SUBTOTAL(109,Tabela1[Alunos Não Agendados])</f>
        <v>10</v>
      </c>
      <c r="K5" s="5">
        <f>SUBTOTAL(109,Tabela1[Presentes])</f>
        <v>45</v>
      </c>
      <c r="L5" s="5">
        <f>SUBTOTAL(101,Tabela1[Presentes (%)])</f>
        <v>0.9000</v>
      </c>
      <c r="M5" s="5">
        <f>SUBTOTAL(109,Tabela1[Ausentes])</f>
        <v>5</v>
      </c>
      <c r="N5" s="5">
        <f>SUBTOTAL(101,Tabela1[Ausentes (%)])</f>
        <v>0.1000</v>
      </c>
    </row>
  </sheetData>
  <mergeCells count="1">
    <mergeCell ref="A1:XFD1"/>
  </mergeCells>
  <dataValidations count="4">
    <dataValidation type="list" allowBlank="1" showInputMessage="1" showErrorMessage="1" sqref="B2 B31:B1048576" xr:uid="{CCE2F411-3D4E-4C20-95C2-F3AEFD0D73D9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D3:D18 D20:D30" xr:uid="{980F7BB0-9DA5-428F-8CF8-F5104136F824}">
      <formula1>"Presencial, Semi-presencial"</formula1>
    </dataValidation>
    <dataValidation type="list" allowBlank="1" showInputMessage="1" showErrorMessage="1" sqref="C3:C18 C20:C30" xr:uid="{18EBE727-A9DC-4494-89F1-C05A25D23F30}">
      <formula1>INDIRECT(NomedoIntervalo)</formula1>
    </dataValidation>
    <dataValidation type="list" allowBlank="1" showInputMessage="1" showErrorMessage="1" sqref="B3:B18 B20:B30" xr:uid="{38448351-82DD-4B97-9F51-554D159BE2F9}">
      <formula1>unidades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937-AA2A-40C8-A645-EA1758910254}">
  <sheetPr codeName="Planilha4"/>
  <dimension ref="A1:M15"/>
  <sheetViews>
    <sheetView workbookViewId="0">
      <selection activeCell="M1" sqref="M1"/>
    </sheetView>
  </sheetViews>
  <sheetFormatPr defaultRowHeight="15"/>
  <cols>
    <col min="1" max="1" width="41.42578125" customWidth="1"/>
    <col min="2" max="2" width="37.140625" customWidth="1"/>
    <col min="3" max="3" width="45.140625" customWidth="1"/>
    <col min="4" max="4" width="43.7109375" customWidth="1"/>
    <col min="5" max="5" width="49.28515625" customWidth="1"/>
    <col min="6" max="7" width="46.85546875" customWidth="1"/>
    <col min="8" max="8" width="50.7109375" customWidth="1"/>
    <col min="9" max="9" width="48.42578125" customWidth="1"/>
    <col min="10" max="10" width="36.7109375" customWidth="1"/>
    <col min="11" max="11" width="35.42578125" customWidth="1"/>
    <col min="12" max="12" width="33.5703125" customWidth="1"/>
    <col min="13" max="13" width="31.140625" customWidth="1"/>
    <col min="14" max="14" width="26.5703125" customWidth="1"/>
    <col min="15" max="15" width="14.28515625" customWidth="1"/>
  </cols>
  <sheetData>
    <row r="1" spans="1:13">
      <c r="A1" s="2" t="s">
        <v>7</v>
      </c>
      <c r="B1" s="2" t="s">
        <v>8</v>
      </c>
      <c r="C1" s="2" t="s">
        <v>5</v>
      </c>
      <c r="D1" s="2" t="s">
        <v>9</v>
      </c>
      <c r="E1" s="2" t="s">
        <v>10</v>
      </c>
      <c r="F1" s="2" t="s">
        <v>11</v>
      </c>
      <c r="G1" s="2" t="s">
        <v>62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64</v>
      </c>
    </row>
    <row r="2" spans="1:13">
      <c r="A2" s="4" t="s">
        <v>17</v>
      </c>
      <c r="B2" s="4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17</v>
      </c>
    </row>
    <row r="3" spans="1:13">
      <c r="A3" s="3" t="s">
        <v>6</v>
      </c>
      <c r="B3" s="3" t="s">
        <v>20</v>
      </c>
      <c r="C3" s="3" t="s">
        <v>6</v>
      </c>
      <c r="D3" s="3" t="s">
        <v>41</v>
      </c>
      <c r="E3" s="3" t="s">
        <v>6</v>
      </c>
      <c r="F3" s="3" t="s">
        <v>6</v>
      </c>
      <c r="G3" s="3" t="s">
        <v>6</v>
      </c>
      <c r="H3" s="3" t="s">
        <v>40</v>
      </c>
      <c r="I3" s="3" t="s">
        <v>20</v>
      </c>
      <c r="J3" s="3" t="s">
        <v>6</v>
      </c>
      <c r="K3" s="3" t="s">
        <v>20</v>
      </c>
      <c r="L3" s="3" t="s">
        <v>18</v>
      </c>
      <c r="M3" s="3" t="s">
        <v>6</v>
      </c>
    </row>
    <row r="4" spans="1:13">
      <c r="A4" s="3" t="s">
        <v>19</v>
      </c>
      <c r="B4" s="3" t="s">
        <v>22</v>
      </c>
      <c r="C4" s="3" t="s">
        <v>19</v>
      </c>
      <c r="D4" s="3" t="s">
        <v>39</v>
      </c>
      <c r="E4" s="3" t="s">
        <v>19</v>
      </c>
      <c r="F4" s="3" t="s">
        <v>39</v>
      </c>
      <c r="G4" s="3" t="s">
        <v>39</v>
      </c>
      <c r="H4" s="3" t="s">
        <v>18</v>
      </c>
      <c r="I4" s="3" t="s">
        <v>22</v>
      </c>
      <c r="J4" s="3" t="s">
        <v>19</v>
      </c>
      <c r="K4" s="3" t="s">
        <v>23</v>
      </c>
      <c r="L4" s="3" t="s">
        <v>20</v>
      </c>
      <c r="M4" s="3" t="s">
        <v>39</v>
      </c>
    </row>
    <row r="5" spans="1:13">
      <c r="A5" s="3" t="s">
        <v>18</v>
      </c>
      <c r="B5" s="3" t="s">
        <v>23</v>
      </c>
      <c r="C5" s="3" t="s">
        <v>18</v>
      </c>
      <c r="D5" s="3" t="s">
        <v>20</v>
      </c>
      <c r="E5" s="3" t="s">
        <v>39</v>
      </c>
      <c r="F5" s="3" t="s">
        <v>18</v>
      </c>
      <c r="G5" s="3" t="s">
        <v>18</v>
      </c>
      <c r="H5" s="3" t="s">
        <v>20</v>
      </c>
      <c r="I5" s="3" t="s">
        <v>23</v>
      </c>
      <c r="J5" s="3" t="s">
        <v>18</v>
      </c>
      <c r="L5" s="3" t="s">
        <v>22</v>
      </c>
      <c r="M5" s="3" t="s">
        <v>18</v>
      </c>
    </row>
    <row r="6" spans="1:13">
      <c r="A6" s="3" t="s">
        <v>20</v>
      </c>
      <c r="B6" s="3"/>
      <c r="C6" s="3" t="s">
        <v>20</v>
      </c>
      <c r="D6" s="3" t="s">
        <v>42</v>
      </c>
      <c r="E6" s="3" t="s">
        <v>18</v>
      </c>
      <c r="F6" s="3" t="s">
        <v>20</v>
      </c>
      <c r="G6" s="3" t="s">
        <v>20</v>
      </c>
      <c r="H6" s="3" t="s">
        <v>22</v>
      </c>
      <c r="J6" s="3" t="s">
        <v>20</v>
      </c>
      <c r="L6" s="3" t="s">
        <v>38</v>
      </c>
      <c r="M6" s="3" t="s">
        <v>20</v>
      </c>
    </row>
    <row r="7" spans="1:13">
      <c r="A7" s="3" t="s">
        <v>21</v>
      </c>
      <c r="C7" s="3" t="s">
        <v>21</v>
      </c>
      <c r="D7" s="3" t="s">
        <v>43</v>
      </c>
      <c r="E7" s="3" t="s">
        <v>20</v>
      </c>
      <c r="F7" s="3" t="s">
        <v>21</v>
      </c>
      <c r="G7" s="3" t="s">
        <v>21</v>
      </c>
      <c r="H7" s="3" t="s">
        <v>23</v>
      </c>
      <c r="J7" s="3" t="s">
        <v>21</v>
      </c>
      <c r="M7" s="3" t="s">
        <v>21</v>
      </c>
    </row>
    <row r="8" spans="1:13">
      <c r="A8" s="3" t="s">
        <v>24</v>
      </c>
      <c r="C8" s="3" t="s">
        <v>22</v>
      </c>
      <c r="D8" s="3" t="s">
        <v>21</v>
      </c>
      <c r="E8" s="3" t="s">
        <v>21</v>
      </c>
      <c r="F8" s="3" t="s">
        <v>44</v>
      </c>
      <c r="G8" s="3" t="s">
        <v>44</v>
      </c>
      <c r="J8" s="3" t="s">
        <v>48</v>
      </c>
    </row>
    <row r="9" spans="1:13">
      <c r="A9" s="3" t="s">
        <v>23</v>
      </c>
      <c r="C9" s="3" t="s">
        <v>38</v>
      </c>
      <c r="D9" s="3" t="s">
        <v>44</v>
      </c>
      <c r="E9" s="3" t="s">
        <v>44</v>
      </c>
      <c r="F9" s="3" t="s">
        <v>45</v>
      </c>
      <c r="G9" s="3"/>
      <c r="J9" s="3" t="s">
        <v>22</v>
      </c>
    </row>
    <row r="10" spans="1:13">
      <c r="C10" s="3" t="s">
        <v>23</v>
      </c>
      <c r="D10" s="3" t="s">
        <v>45</v>
      </c>
      <c r="E10" s="3" t="s">
        <v>22</v>
      </c>
      <c r="F10" s="3" t="s">
        <v>22</v>
      </c>
      <c r="G10" s="3"/>
      <c r="J10" s="3" t="s">
        <v>38</v>
      </c>
    </row>
    <row r="11" spans="1:13">
      <c r="D11" s="3" t="s">
        <v>46</v>
      </c>
      <c r="E11" s="3" t="s">
        <v>49</v>
      </c>
      <c r="F11" s="3" t="s">
        <v>38</v>
      </c>
      <c r="G11" s="3"/>
      <c r="J11" s="3" t="s">
        <v>24</v>
      </c>
    </row>
    <row r="12" spans="1:13">
      <c r="A12" s="2"/>
      <c r="D12" t="s">
        <v>47</v>
      </c>
      <c r="E12" t="s">
        <v>50</v>
      </c>
      <c r="F12" s="3" t="s">
        <v>24</v>
      </c>
      <c r="G12" s="3"/>
      <c r="H12" s="3"/>
      <c r="J12" s="3" t="s">
        <v>50</v>
      </c>
      <c r="M12" s="3"/>
    </row>
    <row r="13" spans="1:13">
      <c r="A13" s="2"/>
      <c r="D13" t="s">
        <v>48</v>
      </c>
      <c r="E13" t="s">
        <v>23</v>
      </c>
      <c r="F13" s="3" t="s">
        <v>23</v>
      </c>
      <c r="G13" s="3"/>
      <c r="H13" s="3"/>
      <c r="I13" s="3"/>
      <c r="J13" s="3" t="s">
        <v>23</v>
      </c>
      <c r="M13" s="3"/>
    </row>
    <row r="14" spans="1:13">
      <c r="A14" s="2"/>
      <c r="D14" t="s">
        <v>49</v>
      </c>
      <c r="F14" s="3" t="s">
        <v>49</v>
      </c>
      <c r="G14" s="3"/>
      <c r="H14" s="3"/>
      <c r="I14" s="3"/>
    </row>
    <row r="15" spans="1:13">
      <c r="D15" t="s">
        <v>50</v>
      </c>
      <c r="F15" s="3" t="s">
        <v>50</v>
      </c>
      <c r="G15" s="3"/>
      <c r="H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266-B9CE-4F84-8A57-70C5067F6E6B}">
  <sheetPr codeName="Planilha3"/>
  <dimension ref="A1:B14"/>
  <sheetViews>
    <sheetView workbookViewId="0">
      <selection activeCell="B19" sqref="B19"/>
    </sheetView>
  </sheetViews>
  <sheetFormatPr defaultRowHeight="15"/>
  <cols>
    <col min="1" max="1" width="28.5703125" customWidth="1"/>
    <col min="2" max="2" width="20" customWidth="1"/>
    <col min="7" max="7" width="11.5703125" customWidth="1"/>
  </cols>
  <sheetData>
    <row r="1" spans="1:2">
      <c r="A1" t="s">
        <v>25</v>
      </c>
      <c r="B1" t="s">
        <v>26</v>
      </c>
    </row>
    <row r="2" spans="1:2">
      <c r="A2" t="s">
        <v>7</v>
      </c>
      <c r="B2" t="s">
        <v>27</v>
      </c>
    </row>
    <row r="3" spans="1:2">
      <c r="A3" t="s">
        <v>8</v>
      </c>
      <c r="B3" s="4" t="s">
        <v>28</v>
      </c>
    </row>
    <row r="4" spans="1:2">
      <c r="A4" t="s">
        <v>5</v>
      </c>
      <c r="B4" s="4" t="s">
        <v>29</v>
      </c>
    </row>
    <row r="5" spans="1:2">
      <c r="A5" t="s">
        <v>9</v>
      </c>
      <c r="B5" s="4" t="s">
        <v>30</v>
      </c>
    </row>
    <row r="6" spans="1:2">
      <c r="A6" t="s">
        <v>10</v>
      </c>
      <c r="B6" s="4" t="s">
        <v>31</v>
      </c>
    </row>
    <row r="7" spans="1:2">
      <c r="A7" t="s">
        <v>11</v>
      </c>
      <c r="B7" s="4" t="s">
        <v>32</v>
      </c>
    </row>
    <row r="8" spans="1:2">
      <c r="A8" t="s">
        <v>62</v>
      </c>
      <c r="B8" s="10" t="s">
        <v>63</v>
      </c>
    </row>
    <row r="9" spans="1:2">
      <c r="A9" t="s">
        <v>64</v>
      </c>
      <c r="B9" s="10" t="s">
        <v>65</v>
      </c>
    </row>
    <row r="10" spans="1:2">
      <c r="A10" t="s">
        <v>12</v>
      </c>
      <c r="B10" s="4" t="s">
        <v>33</v>
      </c>
    </row>
    <row r="11" spans="1:2">
      <c r="A11" t="s">
        <v>13</v>
      </c>
      <c r="B11" s="4" t="s">
        <v>34</v>
      </c>
    </row>
    <row r="12" spans="1:2">
      <c r="A12" t="s">
        <v>14</v>
      </c>
      <c r="B12" s="4" t="s">
        <v>35</v>
      </c>
    </row>
    <row r="13" spans="1:2">
      <c r="A13" t="s">
        <v>15</v>
      </c>
      <c r="B13" s="4" t="s">
        <v>36</v>
      </c>
    </row>
    <row r="14" spans="1:2">
      <c r="A14" t="s">
        <v>16</v>
      </c>
      <c r="B14" s="4" t="s">
        <v>37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CCBE9-D021-4EEF-8798-6A0608E3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Worksheet</vt:lpstr>
      <vt:lpstr>Listagem de dados </vt:lpstr>
      <vt:lpstr>Associação</vt:lpstr>
      <vt:lpstr>Alagoinhas</vt:lpstr>
      <vt:lpstr>Barreiras</vt:lpstr>
      <vt:lpstr>Camacari</vt:lpstr>
      <vt:lpstr>Candeias</vt:lpstr>
      <vt:lpstr>CIMATEC</vt:lpstr>
      <vt:lpstr>Dendezeiros</vt:lpstr>
      <vt:lpstr>Feira_de_Santana</vt:lpstr>
      <vt:lpstr>Ilheus</vt:lpstr>
      <vt:lpstr>Juazeiro</vt:lpstr>
      <vt:lpstr>Lauro_de_Freitas</vt:lpstr>
      <vt:lpstr>Luis_Eduardo</vt:lpstr>
      <vt:lpstr>Teixeira_de_Freitas</vt:lpstr>
      <vt:lpstr>unidades</vt:lpstr>
      <vt:lpstr>Vitoria_da_Conquista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 Rodrigues Sampaio Temotio</cp:lastModifiedBy>
  <cp:revision/>
  <dcterms:created xsi:type="dcterms:W3CDTF">2026-06-15T13:41:42Z</dcterms:created>
  <dcterms:modified xsi:type="dcterms:W3CDTF">2026-09-30T13:54:45Z</dcterms:modified>
  <cp:category/>
  <cp:contentStatus/>
</cp:coreProperties>
</file>