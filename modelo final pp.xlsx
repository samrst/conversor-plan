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sam.sampaio\Downloads\projeto conversor\"/>
    </mc:Choice>
  </mc:AlternateContent>
  <xr:revisionPtr revIDLastSave="0" documentId="13_ncr:1_{BA0FF810-117B-4626-B40E-EFEA8B95F15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orksheet" sheetId="1" r:id="rId1"/>
    <sheet name="Listagem de dados " sheetId="4" r:id="rId2"/>
    <sheet name="Associação" sheetId="3" r:id="rId3"/>
  </sheets>
  <definedNames>
    <definedName name="_xlcn.WorksheetConnection_PlanilhaAvaliaçãoPratica.xlsxTabela11" hidden="1">Tabela1[]</definedName>
    <definedName name="_xlcn.WorksheetConnection_PlanilhaAvaliaçãoPratica.xlsxTabela51" hidden="1">Tabela5</definedName>
    <definedName name="Alagoinhas">'Listagem de dados '!$A$2:$A$9</definedName>
    <definedName name="Barreiras">'Listagem de dados '!$B$2:$B$9</definedName>
    <definedName name="Camacari">'Listagem de dados '!$C$2:$C$10</definedName>
    <definedName name="CIMATEC">'Listagem de dados '!$D$2:$D$15</definedName>
    <definedName name="Dendezeiros">'Listagem de dados '!$E$2:$E$14</definedName>
    <definedName name="Feira_de_Santana">'Listagem de dados '!$F$2:FE$15</definedName>
    <definedName name="Ilheus">'Listagem de dados '!$G$2:$G$7</definedName>
    <definedName name="Juazeiro">'Listagem de dados '!$H$2:$H$5</definedName>
    <definedName name="Lauro_de_Freitas">'Listagem de dados '!$I$2:$I$13</definedName>
    <definedName name="Luis_Eduardo">'Listagem de dados '!$J$2:$J$4</definedName>
    <definedName name="NomedoIntervalo">VLOOKUP(Worksheet!$B1, TabelaMapeamento[], 2, FALSE)</definedName>
    <definedName name="Vitoria_da_Conquista">'Listagem de dados '!$K$2:$K$6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5" name="Tabela5" connection="WorksheetConnection_Planilha Avaliação Pratica.xlsx!Tabela5"/>
          <x15:modelTable id="Tabela1" name="Tabela1" connection="WorksheetConnection_Planilha Avaliação Pratica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2" i="1" l="1"/>
  <c r="Q102" i="1"/>
  <c r="E102" i="1"/>
  <c r="F102" i="1"/>
  <c r="G102" i="1"/>
  <c r="I102" i="1"/>
  <c r="N102" i="1"/>
  <c r="L102" i="1"/>
  <c r="K102" i="1" l="1"/>
  <c r="P102" i="1"/>
  <c r="H102" i="1" l="1"/>
  <c r="O102" i="1"/>
  <c r="M102" i="1"/>
  <c r="J10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43086-0041-4F92-9DE5-798115A5D90A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8878A64-891D-485F-8ABB-A9C51FFC1206}" name="WorksheetConnection_Planilha Avaliação Pratica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PlanilhaAvaliaçãoPratica.xlsxTabela11"/>
        </x15:connection>
      </ext>
    </extLst>
  </connection>
  <connection id="3" xr16:uid="{EF9D9D0B-BEB4-41B8-9346-1C75F6E3E243}" name="WorksheetConnection_Planilha Avaliação Pratica.xlsx!Tabela5" type="102" refreshedVersion="8" minRefreshableVersion="5">
    <extLst>
      <ext xmlns:x15="http://schemas.microsoft.com/office/spreadsheetml/2010/11/main" uri="{DE250136-89BD-433C-8126-D09CA5730AF9}">
        <x15:connection id="Tabela5" autoDelete="1">
          <x15:rangePr sourceName="_xlcn.WorksheetConnection_PlanilhaAvaliaçãoPratica.xlsxTabela51"/>
        </x15:connection>
      </ext>
    </extLst>
  </connection>
</connections>
</file>

<file path=xl/sharedStrings.xml><?xml version="1.0" encoding="utf-8"?>
<sst xmlns="http://schemas.openxmlformats.org/spreadsheetml/2006/main" count="147" uniqueCount="67">
  <si>
    <t>Departamento Regional (DR)</t>
  </si>
  <si>
    <t>Unidade operacional (Escola)</t>
  </si>
  <si>
    <t>Curso</t>
  </si>
  <si>
    <t>Modalidade</t>
  </si>
  <si>
    <t>Total</t>
  </si>
  <si>
    <t>SENAI Camaçari</t>
  </si>
  <si>
    <t>Técnico Em Administração</t>
  </si>
  <si>
    <t>SENAI Alagoinhas</t>
  </si>
  <si>
    <t>SENAI Barreiras</t>
  </si>
  <si>
    <t>SENAI CIMATEC</t>
  </si>
  <si>
    <t>SENAI Dendezeiros</t>
  </si>
  <si>
    <t>SENAI Feira de Santana</t>
  </si>
  <si>
    <t>SENAI Ilhéus</t>
  </si>
  <si>
    <t>SENAI Juazeiro</t>
  </si>
  <si>
    <t>SENAI Lauro de Freitas</t>
  </si>
  <si>
    <t>SENAI Luís Eduardo Magalhães</t>
  </si>
  <si>
    <t>SENAI Vitória da Conquista</t>
  </si>
  <si>
    <t>Técnico Em Eletromecânica</t>
  </si>
  <si>
    <t>Técnico Em Automação Industrial</t>
  </si>
  <si>
    <t>Técnico Em Eletrotécnica</t>
  </si>
  <si>
    <t>Técnico Em Logística</t>
  </si>
  <si>
    <t>Técnico Em Planejamento E Controle Da Produção</t>
  </si>
  <si>
    <t>Técnico Em Segurança Do Trabalho</t>
  </si>
  <si>
    <t>Técnico Em Química</t>
  </si>
  <si>
    <t>1</t>
  </si>
  <si>
    <t>2</t>
  </si>
  <si>
    <t>Alagoinhas</t>
  </si>
  <si>
    <t>Barreiras</t>
  </si>
  <si>
    <t>Camacari</t>
  </si>
  <si>
    <t>CIMATEC</t>
  </si>
  <si>
    <t>Dendezeiros</t>
  </si>
  <si>
    <t>Feira_de_Santana</t>
  </si>
  <si>
    <t>Ilheus</t>
  </si>
  <si>
    <t>Juazeiro</t>
  </si>
  <si>
    <t>Lauro_de_freitas</t>
  </si>
  <si>
    <t>Luis_Eduardo</t>
  </si>
  <si>
    <t>Vitoria_da_Conquista</t>
  </si>
  <si>
    <t>Técnico Em Qualidade</t>
  </si>
  <si>
    <t>Técnico Em Edificações</t>
  </si>
  <si>
    <t>Técnico Em Eletroeletrônica</t>
  </si>
  <si>
    <t>Técnico Em Biotecnologia</t>
  </si>
  <si>
    <t>Técnico Em Fabricação Mecânica</t>
  </si>
  <si>
    <t>Técnico Em Informática Para Internet</t>
  </si>
  <si>
    <t>Técnico Em Manutenção Automotiva</t>
  </si>
  <si>
    <t>Técnico Em Mecatrônica</t>
  </si>
  <si>
    <t>Técnico Em Mecânica</t>
  </si>
  <si>
    <t>Técnico Em Multimídia</t>
  </si>
  <si>
    <t>Técnico Em Petroquímica</t>
  </si>
  <si>
    <t>Técnico Em Redes De Computadores</t>
  </si>
  <si>
    <t>Técnico Em Refrigeração E Climatização</t>
  </si>
  <si>
    <t>Tabulação Pendente</t>
  </si>
  <si>
    <t>Tabulação Feita</t>
  </si>
  <si>
    <t>Tabulação Feita (%)</t>
  </si>
  <si>
    <t>Tabulação Pendente (%)</t>
  </si>
  <si>
    <t>Provas Aplicadas</t>
  </si>
  <si>
    <t>Provas Aplicadas (%)</t>
  </si>
  <si>
    <t>Provas Não Aplicadas</t>
  </si>
  <si>
    <t>Provas Não Aplicadas (%)</t>
  </si>
  <si>
    <t>Total de Provas Geradas</t>
  </si>
  <si>
    <t>Total de Tabulação</t>
  </si>
  <si>
    <t>Alunos Homologados</t>
  </si>
  <si>
    <t>Prova Objetiva</t>
  </si>
  <si>
    <t>Provas geradas</t>
  </si>
  <si>
    <t>provas agendadas</t>
  </si>
  <si>
    <t>Confirmação Feita</t>
  </si>
  <si>
    <t>Confirmação Pendente</t>
  </si>
  <si>
    <t>Técnico Em Desenvolvimento De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</si>
</sst>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Inherit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579A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2" fillId="2" borderId="0" xfId="0" applyNumberFormat="1" applyFont="1" applyFill="1" applyAlignment="1">
      <alignment horizontal="center" vertical="center"/>
    </xf>
    <xf numFmtId="1" fontId="0" fillId="0" borderId="0" xfId="0" applyNumberFormat="1"/>
    <xf numFmtId="0" fontId="1" fillId="0" borderId="0" xfId="0" applyFont="1"/>
  </cellXfs>
  <cellStyles count="2">
    <cellStyle name="Normal" xfId="0" builtinId="0"/>
    <cellStyle name="Porcentagem" xfId="1" builtinId="5"/>
  </cellStyles>
  <dxfs count="31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2A579A"/>
        </patternFill>
      </fill>
      <alignment horizontal="center" vertical="center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481E2-27B5-4C8A-85D1-A393D9831B8B}" name="Tabela1" displayName="Tabela1" ref="A1:R102" totalsRowCount="1" headerRowDxfId="30">
  <autoFilter ref="A1:R101" xr:uid="{A3E481E2-27B5-4C8A-85D1-A393D9831B8B}"/>
  <sortState xmlns:xlrd2="http://schemas.microsoft.com/office/spreadsheetml/2017/richdata2" ref="A2:P43">
    <sortCondition ref="C1:C100"/>
  </sortState>
  <tableColumns count="18">
    <tableColumn id="1" xr3:uid="{E98007AB-E91C-4E5A-9004-0BF7311E5451}" name="Departamento Regional (DR)" totalsRowLabel="Total" dataDxfId="29" totalsRowDxfId="14"/>
    <tableColumn id="2" xr3:uid="{06F67876-53A9-477A-95A9-C7B29EFB0657}" name="Unidade operacional (Escola)"/>
    <tableColumn id="3" xr3:uid="{EA60C0CD-347E-4858-B4C4-AFBBDDBFA1F1}" name="Curso"/>
    <tableColumn id="11" xr3:uid="{E4035624-E2C5-4B94-BEAF-CDBC8DC43F3C}" name="Modalidade"/>
    <tableColumn id="17" xr3:uid="{5B367D6E-4D5D-4C4C-8A89-B52CD92C5197}" name="Prova Objetiva" totalsRowFunction="sum" dataDxfId="28" totalsRowDxfId="13"/>
    <tableColumn id="20" xr3:uid="{993B3EF2-F0FB-400E-8B16-EA2051658B7A}" name="Alunos Homologados" totalsRowFunction="sum" dataDxfId="27" totalsRowDxfId="12"/>
    <tableColumn id="6" xr3:uid="{9251F193-6ECE-4B95-B483-A4AEFDF298DE}" name="Provas Aplicadas" totalsRowFunction="sum" dataDxfId="26" totalsRowDxfId="11"/>
    <tableColumn id="7" xr3:uid="{B4A3CB5F-2B5F-4ED4-B9F4-FC36AC62B4FF}" name="Provas Aplicadas (%)" totalsRowFunction="average" dataDxfId="25" totalsRowDxfId="10" dataCellStyle="Porcentagem"/>
    <tableColumn id="8" xr3:uid="{408844C8-A692-42F4-A21C-7206952CE077}" name="Provas Não Aplicadas" totalsRowFunction="sum" dataDxfId="24" totalsRowDxfId="9"/>
    <tableColumn id="9" xr3:uid="{BDBD46F2-382E-4CC4-A4D8-DD888EE6F1CE}" name="Provas Não Aplicadas (%)" totalsRowFunction="average" dataDxfId="23" totalsRowDxfId="8" dataCellStyle="Porcentagem"/>
    <tableColumn id="10" xr3:uid="{8BE8E6B6-1FC0-4E31-8D84-51F309EBF434}" name="Total de Provas Geradas" totalsRowFunction="sum" dataDxfId="22" totalsRowDxfId="7"/>
    <tableColumn id="12" xr3:uid="{20BC1AAC-2D3A-42CB-A829-9A3FE8E82882}" name="Tabulação Feita" totalsRowFunction="sum" dataDxfId="21" totalsRowDxfId="6"/>
    <tableColumn id="13" xr3:uid="{79BE01F8-70A8-4687-BDE5-B8FDE1FC5759}" name="Tabulação Feita (%)" totalsRowFunction="average" dataDxfId="20" totalsRowDxfId="5" dataCellStyle="Porcentagem"/>
    <tableColumn id="14" xr3:uid="{5F881024-6AE0-4A2B-A3D4-B80CDB2A0100}" name="Tabulação Pendente" totalsRowFunction="sum" dataDxfId="19" totalsRowDxfId="4"/>
    <tableColumn id="15" xr3:uid="{2BB0E211-AC19-4B39-B38A-0989A86CBB14}" name="Tabulação Pendente (%)" totalsRowFunction="average" dataDxfId="18" totalsRowDxfId="3" dataCellStyle="Porcentagem"/>
    <tableColumn id="16" xr3:uid="{8A418474-2D9E-493A-92C7-3A0552E03E39}" name="Total de Tabulação" totalsRowFunction="sum" dataDxfId="17" totalsRowDxfId="2"/>
    <tableColumn id="4" xr3:uid="{935789F9-EF88-4680-B715-20D4F59586C3}" name="Confirmação Feita" totalsRowFunction="sum" dataDxfId="16" totalsRowDxfId="1"/>
    <tableColumn id="5" xr3:uid="{EE2354BF-ADCA-4E89-907C-AC8C79EAD816}" name="Confirmação Pendente" totalsRowFunction="sum" dataDxfId="15" totalsRow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BD0466-0F92-4DE3-8AF1-D58035DB6DE0}" name="TabelaMapeamento" displayName="TabelaMapeamento" ref="A1:B12" totalsRowShown="0">
  <autoFilter ref="A1:B12" xr:uid="{DABD0466-0F92-4DE3-8AF1-D58035DB6DE0}"/>
  <tableColumns count="2">
    <tableColumn id="1" xr3:uid="{249A478E-AD78-46B3-8860-5A9F1AAE53F6}" name="1"/>
    <tableColumn id="2" xr3:uid="{0E6BC943-93CC-4772-869C-912E574C39B9}" name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R103"/>
  <sheetViews>
    <sheetView tabSelected="1" zoomScaleNormal="100" workbookViewId="0">
      <selection activeCell="H12" sqref="H12"/>
    </sheetView>
  </sheetViews>
  <sheetFormatPr defaultRowHeight="15"/>
  <cols>
    <col min="1" max="1" width="31.28515625" customWidth="1"/>
    <col min="2" max="2" width="29.28515625" customWidth="1"/>
    <col min="3" max="3" width="45.85546875" bestFit="1" customWidth="1"/>
    <col min="4" max="4" width="16.28515625" bestFit="1" customWidth="1"/>
    <col min="5" max="5" width="18.7109375" style="11" customWidth="1"/>
    <col min="6" max="6" width="24.5703125" customWidth="1"/>
    <col min="7" max="7" width="20.42578125" customWidth="1"/>
    <col min="8" max="8" width="24" customWidth="1"/>
    <col min="9" max="9" width="24.5703125" customWidth="1"/>
    <col min="10" max="10" width="28.140625" customWidth="1"/>
    <col min="11" max="11" width="27.140625" customWidth="1"/>
    <col min="12" max="12" width="20.7109375" customWidth="1"/>
    <col min="13" max="13" width="22.7109375" customWidth="1"/>
    <col min="14" max="14" width="19.140625" customWidth="1"/>
    <col min="15" max="15" width="27.85546875" customWidth="1"/>
    <col min="16" max="16" width="22" customWidth="1"/>
    <col min="17" max="17" width="21.85546875" style="9" bestFit="1" customWidth="1"/>
    <col min="18" max="18" width="26.28515625" style="9" bestFit="1" customWidth="1"/>
  </cols>
  <sheetData>
    <row r="1" spans="1:18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61</v>
      </c>
      <c r="F1" s="10" t="s">
        <v>60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51</v>
      </c>
      <c r="M1" s="1" t="s">
        <v>52</v>
      </c>
      <c r="N1" s="1" t="s">
        <v>50</v>
      </c>
      <c r="O1" s="1" t="s">
        <v>53</v>
      </c>
      <c r="P1" s="1" t="s">
        <v>59</v>
      </c>
      <c r="Q1" s="10" t="s">
        <v>64</v>
      </c>
      <c r="R1" s="10" t="s">
        <v>65</v>
      </c>
    </row>
    <row r="2" spans="1:18" ht="15.75" customHeight="1">
      <c r="A2" s="6"/>
      <c r="E2" s="9"/>
      <c r="F2" s="9"/>
      <c r="G2" s="5"/>
      <c r="H2" s="7"/>
      <c r="I2" s="5"/>
      <c r="J2" s="7"/>
      <c r="K2" s="5"/>
      <c r="L2" s="5"/>
      <c r="M2" s="7"/>
      <c r="N2" s="5"/>
      <c r="O2" s="7"/>
      <c r="P2" s="5"/>
    </row>
    <row r="3" spans="1:18">
      <c r="A3" s="6"/>
      <c r="E3" s="9"/>
      <c r="F3" s="9"/>
      <c r="G3" s="5"/>
      <c r="H3" s="7"/>
      <c r="I3" s="5"/>
      <c r="J3" s="7"/>
      <c r="K3" s="5"/>
      <c r="L3" s="5"/>
      <c r="M3" s="7"/>
      <c r="N3" s="5"/>
      <c r="O3" s="7"/>
      <c r="P3" s="5"/>
    </row>
    <row r="4" spans="1:18">
      <c r="A4" s="6"/>
      <c r="E4" s="9"/>
      <c r="F4" s="9"/>
      <c r="G4" s="5"/>
      <c r="H4" s="7"/>
      <c r="I4" s="5"/>
      <c r="J4" s="7"/>
      <c r="K4" s="5"/>
      <c r="L4" s="5"/>
      <c r="M4" s="7"/>
      <c r="N4" s="5"/>
      <c r="O4" s="7"/>
      <c r="P4" s="5"/>
    </row>
    <row r="5" spans="1:18">
      <c r="A5" s="6"/>
      <c r="E5" s="9"/>
      <c r="F5" s="9"/>
      <c r="G5" s="5"/>
      <c r="H5" s="7"/>
      <c r="I5" s="5"/>
      <c r="J5" s="7"/>
      <c r="K5" s="5"/>
      <c r="L5" s="5"/>
      <c r="M5" s="7"/>
      <c r="N5" s="5"/>
      <c r="O5" s="7"/>
      <c r="P5" s="5"/>
    </row>
    <row r="6" spans="1:18">
      <c r="A6" s="6"/>
      <c r="E6" s="9"/>
      <c r="F6" s="9"/>
      <c r="G6" s="5"/>
      <c r="H6" s="7"/>
      <c r="I6" s="5"/>
      <c r="J6" s="7"/>
      <c r="K6" s="5"/>
      <c r="L6" s="5"/>
      <c r="M6" s="7"/>
      <c r="N6" s="5"/>
      <c r="O6" s="7"/>
      <c r="P6" s="5"/>
    </row>
    <row r="7" spans="1:18">
      <c r="A7" s="6"/>
      <c r="E7" s="9"/>
      <c r="F7" s="9"/>
      <c r="G7" s="5"/>
      <c r="H7" s="7"/>
      <c r="I7" s="5"/>
      <c r="J7" s="7"/>
      <c r="K7" s="5"/>
      <c r="L7" s="5"/>
      <c r="M7" s="7"/>
      <c r="N7" s="5"/>
      <c r="O7" s="7"/>
      <c r="P7" s="5"/>
    </row>
    <row r="8" spans="1:18">
      <c r="A8" s="6"/>
      <c r="E8" s="9"/>
      <c r="F8" s="9"/>
      <c r="G8" s="5"/>
      <c r="H8" s="7"/>
      <c r="I8" s="5"/>
      <c r="J8" s="7"/>
      <c r="K8" s="5"/>
      <c r="L8" s="5"/>
      <c r="M8" s="7"/>
      <c r="N8" s="5"/>
      <c r="O8" s="7"/>
      <c r="P8" s="5"/>
    </row>
    <row r="9" spans="1:18">
      <c r="A9" s="6"/>
      <c r="E9" s="9"/>
      <c r="F9" s="9"/>
      <c r="G9" s="5"/>
      <c r="H9" s="7"/>
      <c r="I9" s="5"/>
      <c r="J9" s="7"/>
      <c r="K9" s="5"/>
      <c r="L9" s="5"/>
      <c r="M9" s="7"/>
      <c r="N9" s="5"/>
      <c r="O9" s="7"/>
      <c r="P9" s="5"/>
    </row>
    <row r="10" spans="1:18">
      <c r="A10" s="6"/>
      <c r="E10" s="9"/>
      <c r="F10" s="9"/>
      <c r="G10" s="5"/>
      <c r="H10" s="7"/>
      <c r="I10" s="5"/>
      <c r="J10" s="7"/>
      <c r="K10" s="5"/>
      <c r="L10" s="5"/>
      <c r="M10" s="7"/>
      <c r="N10" s="5"/>
      <c r="O10" s="7"/>
      <c r="P10" s="5"/>
    </row>
    <row r="11" spans="1:18">
      <c r="A11" s="6"/>
      <c r="E11" s="9"/>
      <c r="F11" s="9"/>
      <c r="G11" s="5"/>
      <c r="H11" s="7"/>
      <c r="I11" s="5"/>
      <c r="J11" s="7"/>
      <c r="K11" s="5"/>
      <c r="L11" s="5"/>
      <c r="M11" s="7"/>
      <c r="N11" s="5"/>
      <c r="O11" s="7"/>
      <c r="P11" s="5"/>
    </row>
    <row r="12" spans="1:18">
      <c r="A12" s="6"/>
      <c r="E12" s="9"/>
      <c r="F12" s="9"/>
      <c r="G12" s="5"/>
      <c r="H12" s="7"/>
      <c r="I12" s="5"/>
      <c r="J12" s="7"/>
      <c r="K12" s="5"/>
      <c r="L12" s="5"/>
      <c r="M12" s="7"/>
      <c r="N12" s="5"/>
      <c r="O12" s="7"/>
      <c r="P12" s="5"/>
    </row>
    <row r="13" spans="1:18">
      <c r="A13" s="6"/>
      <c r="E13" s="9"/>
      <c r="F13" s="9"/>
      <c r="G13" s="5"/>
      <c r="H13" s="7"/>
      <c r="I13" s="5"/>
      <c r="J13" s="7"/>
      <c r="K13" s="5"/>
      <c r="L13" s="5"/>
      <c r="M13" s="7"/>
      <c r="N13" s="5"/>
      <c r="O13" s="7"/>
      <c r="P13" s="5"/>
    </row>
    <row r="14" spans="1:18">
      <c r="A14" s="6"/>
      <c r="E14" s="9"/>
      <c r="F14" s="9"/>
      <c r="G14" s="5"/>
      <c r="H14" s="7"/>
      <c r="I14" s="5"/>
      <c r="J14" s="7"/>
      <c r="K14" s="5"/>
      <c r="L14" s="5"/>
      <c r="M14" s="7"/>
      <c r="N14" s="5"/>
      <c r="O14" s="7"/>
      <c r="P14" s="5"/>
    </row>
    <row r="15" spans="1:18">
      <c r="A15" s="6"/>
      <c r="E15" s="9"/>
      <c r="F15" s="9"/>
      <c r="G15" s="5"/>
      <c r="H15" s="7"/>
      <c r="I15" s="5"/>
      <c r="J15" s="7"/>
      <c r="K15" s="5"/>
      <c r="L15" s="5"/>
      <c r="M15" s="7"/>
      <c r="N15" s="5"/>
      <c r="O15" s="7"/>
      <c r="P15" s="5"/>
    </row>
    <row r="16" spans="1:18">
      <c r="A16" s="6"/>
      <c r="E16" s="9"/>
      <c r="F16" s="9"/>
      <c r="G16" s="5"/>
      <c r="H16" s="7"/>
      <c r="I16" s="5"/>
      <c r="J16" s="7"/>
      <c r="K16" s="5"/>
      <c r="L16" s="5"/>
      <c r="M16" s="7"/>
      <c r="N16" s="5"/>
      <c r="O16" s="7"/>
      <c r="P16" s="5"/>
    </row>
    <row r="17" spans="1:16">
      <c r="A17" s="6"/>
      <c r="E17" s="9"/>
      <c r="F17" s="9"/>
      <c r="G17" s="5"/>
      <c r="H17" s="7"/>
      <c r="I17" s="5"/>
      <c r="J17" s="7"/>
      <c r="K17" s="5"/>
      <c r="L17" s="5"/>
      <c r="M17" s="7"/>
      <c r="N17" s="5"/>
      <c r="O17" s="7"/>
      <c r="P17" s="5"/>
    </row>
    <row r="18" spans="1:16">
      <c r="A18" s="6"/>
      <c r="E18" s="9"/>
      <c r="F18" s="9"/>
      <c r="G18" s="5"/>
      <c r="H18" s="7"/>
      <c r="I18" s="5"/>
      <c r="J18" s="7"/>
      <c r="K18" s="5"/>
      <c r="L18" s="5"/>
      <c r="M18" s="7"/>
      <c r="N18" s="5"/>
      <c r="O18" s="7"/>
      <c r="P18" s="5"/>
    </row>
    <row r="19" spans="1:16">
      <c r="A19" s="6"/>
      <c r="E19" s="9"/>
      <c r="F19" s="9"/>
      <c r="G19" s="5"/>
      <c r="H19" s="7"/>
      <c r="I19" s="5"/>
      <c r="J19" s="7"/>
      <c r="K19" s="5"/>
      <c r="L19" s="5"/>
      <c r="M19" s="7"/>
      <c r="N19" s="5"/>
      <c r="O19" s="7"/>
      <c r="P19" s="5"/>
    </row>
    <row r="20" spans="1:16">
      <c r="A20" s="6"/>
      <c r="E20" s="9"/>
      <c r="F20" s="9"/>
      <c r="G20" s="5"/>
      <c r="H20" s="7"/>
      <c r="I20" s="5"/>
      <c r="J20" s="7"/>
      <c r="K20" s="5"/>
      <c r="L20" s="5"/>
      <c r="M20" s="7"/>
      <c r="N20" s="5"/>
      <c r="O20" s="7"/>
      <c r="P20" s="5"/>
    </row>
    <row r="21" spans="1:16">
      <c r="A21" s="6"/>
      <c r="E21" s="9"/>
      <c r="F21" s="9"/>
      <c r="G21" s="5"/>
      <c r="H21" s="7"/>
      <c r="I21" s="5"/>
      <c r="J21" s="7"/>
      <c r="K21" s="5"/>
      <c r="L21" s="5"/>
      <c r="M21" s="7"/>
      <c r="N21" s="5"/>
      <c r="O21" s="7"/>
      <c r="P21" s="5"/>
    </row>
    <row r="22" spans="1:16">
      <c r="A22" s="6"/>
      <c r="E22" s="9"/>
      <c r="F22" s="9"/>
      <c r="G22" s="5"/>
      <c r="H22" s="7"/>
      <c r="I22" s="5"/>
      <c r="J22" s="7"/>
      <c r="K22" s="5"/>
      <c r="L22" s="5"/>
      <c r="M22" s="7"/>
      <c r="N22" s="5"/>
      <c r="O22" s="7"/>
      <c r="P22" s="5"/>
    </row>
    <row r="23" spans="1:16">
      <c r="A23" s="6"/>
      <c r="E23" s="9"/>
      <c r="F23" s="9"/>
      <c r="G23" s="5"/>
      <c r="H23" s="7"/>
      <c r="I23" s="5"/>
      <c r="J23" s="7"/>
      <c r="K23" s="5"/>
      <c r="L23" s="5"/>
      <c r="M23" s="7"/>
      <c r="N23" s="5"/>
      <c r="O23" s="7"/>
      <c r="P23" s="5"/>
    </row>
    <row r="24" spans="1:16">
      <c r="A24" s="6"/>
      <c r="E24" s="9"/>
      <c r="F24" s="9"/>
      <c r="G24" s="5"/>
      <c r="H24" s="7"/>
      <c r="I24" s="5"/>
      <c r="J24" s="7"/>
      <c r="K24" s="5"/>
      <c r="L24" s="5"/>
      <c r="M24" s="7"/>
      <c r="N24" s="5"/>
      <c r="O24" s="7"/>
      <c r="P24" s="5"/>
    </row>
    <row r="25" spans="1:16">
      <c r="A25" s="6"/>
      <c r="E25" s="9"/>
      <c r="F25" s="9"/>
      <c r="G25" s="5"/>
      <c r="H25" s="7"/>
      <c r="I25" s="5"/>
      <c r="J25" s="7"/>
      <c r="K25" s="5"/>
      <c r="L25" s="5"/>
      <c r="M25" s="7"/>
      <c r="N25" s="5"/>
      <c r="O25" s="7"/>
      <c r="P25" s="5"/>
    </row>
    <row r="26" spans="1:16">
      <c r="A26" s="6"/>
      <c r="E26" s="9"/>
      <c r="F26" s="9"/>
      <c r="G26" s="5"/>
      <c r="H26" s="7"/>
      <c r="I26" s="5"/>
      <c r="J26" s="7"/>
      <c r="K26" s="5"/>
      <c r="L26" s="5"/>
      <c r="M26" s="7"/>
      <c r="N26" s="5"/>
      <c r="O26" s="7"/>
      <c r="P26" s="5"/>
    </row>
    <row r="27" spans="1:16">
      <c r="A27" s="6"/>
      <c r="E27" s="9"/>
      <c r="F27" s="9"/>
      <c r="G27" s="5"/>
      <c r="H27" s="7"/>
      <c r="I27" s="5"/>
      <c r="J27" s="7"/>
      <c r="K27" s="5"/>
      <c r="L27" s="5"/>
      <c r="M27" s="7"/>
      <c r="N27" s="5"/>
      <c r="O27" s="7"/>
      <c r="P27" s="5"/>
    </row>
    <row r="28" spans="1:16">
      <c r="A28" s="6"/>
      <c r="E28" s="9"/>
      <c r="F28" s="9"/>
      <c r="G28" s="5"/>
      <c r="H28" s="7"/>
      <c r="I28" s="5"/>
      <c r="J28" s="7"/>
      <c r="K28" s="5"/>
      <c r="L28" s="5"/>
      <c r="M28" s="7"/>
      <c r="N28" s="5"/>
      <c r="O28" s="7"/>
      <c r="P28" s="5"/>
    </row>
    <row r="29" spans="1:16">
      <c r="A29" s="6"/>
      <c r="E29" s="9"/>
      <c r="F29" s="9"/>
      <c r="G29" s="5"/>
      <c r="H29" s="7"/>
      <c r="I29" s="5"/>
      <c r="J29" s="7"/>
      <c r="K29" s="5"/>
      <c r="L29" s="5"/>
      <c r="M29" s="7"/>
      <c r="N29" s="5"/>
      <c r="O29" s="7"/>
      <c r="P29" s="5"/>
    </row>
    <row r="30" spans="1:16">
      <c r="A30" s="6"/>
      <c r="E30" s="9"/>
      <c r="F30" s="9"/>
      <c r="G30" s="5"/>
      <c r="H30" s="7"/>
      <c r="I30" s="5"/>
      <c r="J30" s="7"/>
      <c r="K30" s="5"/>
      <c r="L30" s="5"/>
      <c r="M30" s="7"/>
      <c r="N30" s="5"/>
      <c r="O30" s="7"/>
      <c r="P30" s="5"/>
    </row>
    <row r="31" spans="1:16">
      <c r="A31" s="6"/>
      <c r="E31" s="9"/>
      <c r="F31" s="9"/>
      <c r="G31" s="5"/>
      <c r="H31" s="7"/>
      <c r="I31" s="5"/>
      <c r="J31" s="7"/>
      <c r="K31" s="5"/>
      <c r="L31" s="5"/>
      <c r="M31" s="7"/>
      <c r="N31" s="5"/>
      <c r="O31" s="7"/>
      <c r="P31" s="5"/>
    </row>
    <row r="32" spans="1:16">
      <c r="A32" s="6"/>
      <c r="E32" s="9"/>
      <c r="F32" s="9"/>
      <c r="G32" s="5"/>
      <c r="H32" s="7"/>
      <c r="I32" s="5"/>
      <c r="J32" s="7"/>
      <c r="K32" s="5"/>
      <c r="L32" s="5"/>
      <c r="M32" s="7"/>
      <c r="N32" s="5"/>
      <c r="O32" s="7"/>
      <c r="P32" s="5"/>
    </row>
    <row r="33" spans="1:16">
      <c r="A33" s="6"/>
      <c r="E33" s="9"/>
      <c r="F33" s="9"/>
      <c r="G33" s="5"/>
      <c r="H33" s="7"/>
      <c r="I33" s="5"/>
      <c r="J33" s="7"/>
      <c r="K33" s="5"/>
      <c r="L33" s="5"/>
      <c r="M33" s="7"/>
      <c r="N33" s="5"/>
      <c r="O33" s="7"/>
      <c r="P33" s="5"/>
    </row>
    <row r="34" spans="1:16">
      <c r="A34" s="6"/>
      <c r="E34" s="9"/>
      <c r="F34" s="9"/>
      <c r="G34" s="5"/>
      <c r="H34" s="7"/>
      <c r="I34" s="5"/>
      <c r="J34" s="7"/>
      <c r="K34" s="5"/>
      <c r="L34" s="5"/>
      <c r="M34" s="7"/>
      <c r="N34" s="5"/>
      <c r="O34" s="7"/>
      <c r="P34" s="5"/>
    </row>
    <row r="35" spans="1:16">
      <c r="A35" s="6"/>
      <c r="E35" s="9"/>
      <c r="F35" s="9"/>
      <c r="G35" s="5"/>
      <c r="H35" s="7"/>
      <c r="I35" s="5"/>
      <c r="J35" s="7"/>
      <c r="K35" s="5"/>
      <c r="L35" s="5"/>
      <c r="M35" s="7"/>
      <c r="N35" s="5"/>
      <c r="O35" s="7"/>
      <c r="P35" s="5"/>
    </row>
    <row r="36" spans="1:16">
      <c r="A36" s="6"/>
      <c r="E36" s="9"/>
      <c r="F36" s="9"/>
      <c r="G36" s="5"/>
      <c r="H36" s="7"/>
      <c r="I36" s="5"/>
      <c r="J36" s="7"/>
      <c r="K36" s="5"/>
      <c r="L36" s="5"/>
      <c r="M36" s="7"/>
      <c r="N36" s="5"/>
      <c r="O36" s="7"/>
      <c r="P36" s="5"/>
    </row>
    <row r="37" spans="1:16">
      <c r="A37" s="6"/>
      <c r="E37" s="9"/>
      <c r="F37" s="9"/>
      <c r="G37" s="5"/>
      <c r="H37" s="7"/>
      <c r="I37" s="5"/>
      <c r="J37" s="7"/>
      <c r="K37" s="5"/>
      <c r="L37" s="5"/>
      <c r="M37" s="7"/>
      <c r="N37" s="5"/>
      <c r="O37" s="7"/>
      <c r="P37" s="5"/>
    </row>
    <row r="38" spans="1:16">
      <c r="A38" s="6"/>
      <c r="E38" s="9"/>
      <c r="F38" s="9"/>
      <c r="G38" s="5"/>
      <c r="H38" s="7"/>
      <c r="I38" s="5"/>
      <c r="J38" s="7"/>
      <c r="K38" s="5"/>
      <c r="L38" s="5"/>
      <c r="M38" s="7"/>
      <c r="N38" s="5"/>
      <c r="O38" s="7"/>
      <c r="P38" s="5"/>
    </row>
    <row r="39" spans="1:16">
      <c r="A39" s="6"/>
      <c r="E39" s="9"/>
      <c r="F39" s="9"/>
      <c r="G39" s="5"/>
      <c r="H39" s="7"/>
      <c r="I39" s="5"/>
      <c r="J39" s="7"/>
      <c r="K39" s="5"/>
      <c r="L39" s="5"/>
      <c r="M39" s="7"/>
      <c r="N39" s="5"/>
      <c r="O39" s="7"/>
      <c r="P39" s="5"/>
    </row>
    <row r="40" spans="1:16">
      <c r="A40" s="6"/>
      <c r="E40" s="9"/>
      <c r="F40" s="9"/>
      <c r="G40" s="5"/>
      <c r="H40" s="7"/>
      <c r="I40" s="5"/>
      <c r="J40" s="7"/>
      <c r="K40" s="5"/>
      <c r="L40" s="5"/>
      <c r="M40" s="7"/>
      <c r="N40" s="5"/>
      <c r="O40" s="7"/>
      <c r="P40" s="5"/>
    </row>
    <row r="41" spans="1:16">
      <c r="A41" s="6"/>
      <c r="E41" s="9"/>
      <c r="F41" s="9"/>
      <c r="G41" s="5"/>
      <c r="H41" s="7"/>
      <c r="I41" s="5"/>
      <c r="J41" s="7"/>
      <c r="K41" s="5"/>
      <c r="L41" s="5"/>
      <c r="M41" s="7"/>
      <c r="N41" s="5"/>
      <c r="O41" s="7"/>
      <c r="P41" s="5"/>
    </row>
    <row r="42" spans="1:16">
      <c r="A42" s="6"/>
      <c r="E42" s="9"/>
      <c r="F42" s="9"/>
      <c r="G42" s="5"/>
      <c r="H42" s="7"/>
      <c r="I42" s="5"/>
      <c r="J42" s="7"/>
      <c r="K42" s="5"/>
      <c r="L42" s="5"/>
      <c r="M42" s="7"/>
      <c r="N42" s="5"/>
      <c r="O42" s="7"/>
      <c r="P42" s="5"/>
    </row>
    <row r="43" spans="1:16">
      <c r="A43" s="6"/>
      <c r="E43" s="9"/>
      <c r="F43" s="9"/>
      <c r="G43" s="5"/>
      <c r="H43" s="7"/>
      <c r="I43" s="5"/>
      <c r="J43" s="7"/>
      <c r="K43" s="5"/>
      <c r="L43" s="5"/>
      <c r="M43" s="7"/>
      <c r="N43" s="5"/>
      <c r="O43" s="7"/>
      <c r="P43" s="5"/>
    </row>
    <row r="44" spans="1:16">
      <c r="A44" s="6"/>
      <c r="E44" s="9"/>
      <c r="F44" s="9"/>
      <c r="G44" s="5"/>
      <c r="H44" s="7"/>
      <c r="I44" s="5"/>
      <c r="J44" s="7"/>
      <c r="K44" s="5"/>
      <c r="L44" s="5"/>
      <c r="M44" s="7"/>
      <c r="N44" s="5"/>
      <c r="O44" s="7"/>
      <c r="P44" s="5"/>
    </row>
    <row r="45" spans="1:16">
      <c r="A45" s="6"/>
      <c r="E45" s="9"/>
      <c r="F45" s="9"/>
      <c r="G45" s="5"/>
      <c r="H45" s="7"/>
      <c r="I45" s="5"/>
      <c r="J45" s="7"/>
      <c r="K45" s="5"/>
      <c r="L45" s="5"/>
      <c r="M45" s="7"/>
      <c r="N45" s="5"/>
      <c r="O45" s="7"/>
      <c r="P45" s="5"/>
    </row>
    <row r="46" spans="1:16">
      <c r="A46" s="6"/>
      <c r="E46" s="9"/>
      <c r="F46" s="9"/>
      <c r="G46" s="5"/>
      <c r="H46" s="7"/>
      <c r="I46" s="5"/>
      <c r="J46" s="7"/>
      <c r="K46" s="5"/>
      <c r="L46" s="5"/>
      <c r="M46" s="7"/>
      <c r="N46" s="5"/>
      <c r="O46" s="7"/>
      <c r="P46" s="5"/>
    </row>
    <row r="47" spans="1:16">
      <c r="A47" s="6"/>
      <c r="E47" s="9"/>
      <c r="F47" s="9"/>
      <c r="G47" s="5"/>
      <c r="H47" s="7"/>
      <c r="I47" s="5"/>
      <c r="J47" s="7"/>
      <c r="K47" s="5"/>
      <c r="L47" s="5"/>
      <c r="M47" s="7"/>
      <c r="N47" s="5"/>
      <c r="O47" s="7"/>
      <c r="P47" s="5"/>
    </row>
    <row r="48" spans="1:16">
      <c r="A48" s="6"/>
      <c r="E48" s="9"/>
      <c r="F48" s="9"/>
      <c r="G48" s="5"/>
      <c r="H48" s="7"/>
      <c r="I48" s="5"/>
      <c r="J48" s="7"/>
      <c r="K48" s="5"/>
      <c r="L48" s="5"/>
      <c r="M48" s="7"/>
      <c r="N48" s="5"/>
      <c r="O48" s="7"/>
      <c r="P48" s="5"/>
    </row>
    <row r="49" spans="1:16">
      <c r="A49" s="6"/>
      <c r="E49" s="9"/>
      <c r="F49" s="9"/>
      <c r="G49" s="5"/>
      <c r="H49" s="7"/>
      <c r="I49" s="5"/>
      <c r="J49" s="7"/>
      <c r="K49" s="5"/>
      <c r="L49" s="5"/>
      <c r="M49" s="7"/>
      <c r="N49" s="5"/>
      <c r="O49" s="7"/>
      <c r="P49" s="5"/>
    </row>
    <row r="50" spans="1:16">
      <c r="A50" s="6"/>
      <c r="E50" s="9"/>
      <c r="F50" s="9"/>
      <c r="G50" s="5"/>
      <c r="H50" s="7"/>
      <c r="I50" s="5"/>
      <c r="J50" s="7"/>
      <c r="K50" s="5"/>
      <c r="L50" s="5"/>
      <c r="M50" s="7"/>
      <c r="N50" s="5"/>
      <c r="O50" s="7"/>
      <c r="P50" s="5"/>
    </row>
    <row r="51" spans="1:16">
      <c r="A51" s="6"/>
      <c r="E51" s="9"/>
      <c r="F51" s="9"/>
      <c r="G51" s="5"/>
      <c r="H51" s="7"/>
      <c r="I51" s="5"/>
      <c r="J51" s="7"/>
      <c r="K51" s="5"/>
      <c r="L51" s="5"/>
      <c r="M51" s="7"/>
      <c r="N51" s="5"/>
      <c r="O51" s="7"/>
      <c r="P51" s="5"/>
    </row>
    <row r="52" spans="1:16">
      <c r="A52" s="6"/>
      <c r="E52" s="9"/>
      <c r="F52" s="9"/>
      <c r="G52" s="5"/>
      <c r="H52" s="7"/>
      <c r="I52" s="5"/>
      <c r="J52" s="7"/>
      <c r="K52" s="5"/>
      <c r="L52" s="5"/>
      <c r="M52" s="7"/>
      <c r="N52" s="5"/>
      <c r="O52" s="7"/>
      <c r="P52" s="5"/>
    </row>
    <row r="53" spans="1:16">
      <c r="A53" s="6"/>
      <c r="E53" s="9"/>
      <c r="F53" s="9"/>
      <c r="G53" s="5"/>
      <c r="H53" s="7"/>
      <c r="I53" s="5"/>
      <c r="J53" s="7"/>
      <c r="K53" s="5"/>
      <c r="L53" s="5"/>
      <c r="M53" s="7"/>
      <c r="N53" s="5"/>
      <c r="O53" s="7"/>
      <c r="P53" s="5"/>
    </row>
    <row r="54" spans="1:16">
      <c r="A54" s="6"/>
      <c r="E54" s="9"/>
      <c r="F54" s="9"/>
      <c r="G54" s="5"/>
      <c r="H54" s="7"/>
      <c r="I54" s="5"/>
      <c r="J54" s="7"/>
      <c r="K54" s="5"/>
      <c r="L54" s="5"/>
      <c r="M54" s="7"/>
      <c r="N54" s="5"/>
      <c r="O54" s="7"/>
      <c r="P54" s="5"/>
    </row>
    <row r="55" spans="1:16">
      <c r="A55" s="6"/>
      <c r="E55" s="9"/>
      <c r="F55" s="9"/>
      <c r="G55" s="5"/>
      <c r="H55" s="7"/>
      <c r="I55" s="5"/>
      <c r="J55" s="7"/>
      <c r="K55" s="5"/>
      <c r="L55" s="5"/>
      <c r="M55" s="7"/>
      <c r="N55" s="5"/>
      <c r="O55" s="7"/>
      <c r="P55" s="5"/>
    </row>
    <row r="56" spans="1:16">
      <c r="A56" s="6"/>
      <c r="E56" s="9"/>
      <c r="F56" s="9"/>
      <c r="G56" s="5"/>
      <c r="H56" s="7"/>
      <c r="I56" s="5"/>
      <c r="J56" s="7"/>
      <c r="K56" s="5"/>
      <c r="L56" s="5"/>
      <c r="M56" s="7"/>
      <c r="N56" s="5"/>
      <c r="O56" s="7"/>
      <c r="P56" s="5"/>
    </row>
    <row r="57" spans="1:16">
      <c r="A57" s="6"/>
      <c r="E57" s="9"/>
      <c r="F57" s="9"/>
      <c r="G57" s="5"/>
      <c r="H57" s="7"/>
      <c r="I57" s="5"/>
      <c r="J57" s="7"/>
      <c r="K57" s="5"/>
      <c r="L57" s="5"/>
      <c r="M57" s="7"/>
      <c r="N57" s="5"/>
      <c r="O57" s="7"/>
      <c r="P57" s="5"/>
    </row>
    <row r="58" spans="1:16">
      <c r="A58" s="6"/>
      <c r="E58" s="9"/>
      <c r="F58" s="9"/>
      <c r="G58" s="5"/>
      <c r="H58" s="7"/>
      <c r="I58" s="5"/>
      <c r="J58" s="7"/>
      <c r="K58" s="5"/>
      <c r="L58" s="5"/>
      <c r="M58" s="7"/>
      <c r="N58" s="5"/>
      <c r="O58" s="7"/>
      <c r="P58" s="5"/>
    </row>
    <row r="59" spans="1:16">
      <c r="A59" s="6"/>
      <c r="E59" s="9"/>
      <c r="F59" s="9"/>
      <c r="G59" s="5"/>
      <c r="H59" s="7"/>
      <c r="I59" s="5"/>
      <c r="J59" s="7"/>
      <c r="K59" s="5"/>
      <c r="L59" s="5"/>
      <c r="M59" s="7"/>
      <c r="N59" s="5"/>
      <c r="O59" s="7"/>
      <c r="P59" s="5"/>
    </row>
    <row r="60" spans="1:16">
      <c r="A60" s="6"/>
      <c r="E60" s="9"/>
      <c r="F60" s="9"/>
      <c r="G60" s="5"/>
      <c r="H60" s="7"/>
      <c r="I60" s="5"/>
      <c r="J60" s="7"/>
      <c r="K60" s="5"/>
      <c r="L60" s="5"/>
      <c r="M60" s="7"/>
      <c r="N60" s="5"/>
      <c r="O60" s="7"/>
      <c r="P60" s="5"/>
    </row>
    <row r="61" spans="1:16">
      <c r="A61" s="6"/>
      <c r="E61" s="9"/>
      <c r="F61" s="9"/>
      <c r="G61" s="5"/>
      <c r="H61" s="7"/>
      <c r="I61" s="5"/>
      <c r="J61" s="7"/>
      <c r="K61" s="5"/>
      <c r="L61" s="5"/>
      <c r="M61" s="7"/>
      <c r="N61" s="5"/>
      <c r="O61" s="7"/>
      <c r="P61" s="5"/>
    </row>
    <row r="62" spans="1:16">
      <c r="A62" s="6"/>
      <c r="E62" s="9"/>
      <c r="F62" s="9"/>
      <c r="G62" s="5"/>
      <c r="H62" s="7"/>
      <c r="I62" s="5"/>
      <c r="J62" s="7"/>
      <c r="K62" s="5"/>
      <c r="L62" s="5"/>
      <c r="M62" s="7"/>
      <c r="N62" s="5"/>
      <c r="O62" s="7"/>
      <c r="P62" s="5"/>
    </row>
    <row r="63" spans="1:16">
      <c r="A63" s="6"/>
      <c r="E63" s="9"/>
      <c r="F63" s="9"/>
      <c r="G63" s="5"/>
      <c r="H63" s="7"/>
      <c r="I63" s="5"/>
      <c r="J63" s="7"/>
      <c r="K63" s="5"/>
      <c r="L63" s="5"/>
      <c r="M63" s="7"/>
      <c r="N63" s="5"/>
      <c r="O63" s="7"/>
      <c r="P63" s="5"/>
    </row>
    <row r="64" spans="1:16">
      <c r="A64" s="6"/>
      <c r="E64" s="9"/>
      <c r="F64" s="9"/>
      <c r="G64" s="5"/>
      <c r="H64" s="7"/>
      <c r="I64" s="5"/>
      <c r="J64" s="7"/>
      <c r="K64" s="5"/>
      <c r="L64" s="5"/>
      <c r="M64" s="7"/>
      <c r="N64" s="5"/>
      <c r="O64" s="7"/>
      <c r="P64" s="5"/>
    </row>
    <row r="65" spans="1:16">
      <c r="A65" s="6"/>
      <c r="E65" s="9"/>
      <c r="F65" s="9"/>
      <c r="G65" s="5"/>
      <c r="H65" s="7"/>
      <c r="I65" s="5"/>
      <c r="J65" s="7"/>
      <c r="K65" s="5"/>
      <c r="L65" s="5"/>
      <c r="M65" s="7"/>
      <c r="N65" s="5"/>
      <c r="O65" s="7"/>
      <c r="P65" s="5"/>
    </row>
    <row r="66" spans="1:16">
      <c r="A66" s="6"/>
      <c r="E66" s="9"/>
      <c r="F66" s="9"/>
      <c r="G66" s="5"/>
      <c r="H66" s="7"/>
      <c r="I66" s="5"/>
      <c r="J66" s="7"/>
      <c r="K66" s="5"/>
      <c r="L66" s="5"/>
      <c r="M66" s="7"/>
      <c r="N66" s="5"/>
      <c r="O66" s="7"/>
      <c r="P66" s="5"/>
    </row>
    <row r="67" spans="1:16">
      <c r="A67" s="6"/>
      <c r="E67" s="9"/>
      <c r="F67" s="9"/>
      <c r="G67" s="5"/>
      <c r="H67" s="7"/>
      <c r="I67" s="5"/>
      <c r="J67" s="7"/>
      <c r="K67" s="5"/>
      <c r="L67" s="5"/>
      <c r="M67" s="7"/>
      <c r="N67" s="5"/>
      <c r="O67" s="7"/>
      <c r="P67" s="5"/>
    </row>
    <row r="68" spans="1:16">
      <c r="A68" s="6"/>
      <c r="E68" s="9"/>
      <c r="F68" s="9"/>
      <c r="G68" s="5"/>
      <c r="H68" s="7"/>
      <c r="I68" s="5"/>
      <c r="J68" s="7"/>
      <c r="K68" s="5"/>
      <c r="L68" s="5"/>
      <c r="M68" s="7"/>
      <c r="N68" s="5"/>
      <c r="O68" s="7"/>
      <c r="P68" s="5"/>
    </row>
    <row r="69" spans="1:16">
      <c r="A69" s="6"/>
      <c r="E69" s="9"/>
      <c r="F69" s="9"/>
      <c r="G69" s="5"/>
      <c r="H69" s="7"/>
      <c r="I69" s="5"/>
      <c r="J69" s="7"/>
      <c r="K69" s="5"/>
      <c r="L69" s="5"/>
      <c r="M69" s="7"/>
      <c r="N69" s="5"/>
      <c r="O69" s="7"/>
      <c r="P69" s="5"/>
    </row>
    <row r="70" spans="1:16">
      <c r="A70" s="6"/>
      <c r="E70" s="9"/>
      <c r="F70" s="9"/>
      <c r="G70" s="5"/>
      <c r="H70" s="7"/>
      <c r="I70" s="5"/>
      <c r="J70" s="7"/>
      <c r="K70" s="5"/>
      <c r="L70" s="5"/>
      <c r="M70" s="7"/>
      <c r="N70" s="5"/>
      <c r="O70" s="7"/>
      <c r="P70" s="5"/>
    </row>
    <row r="71" spans="1:16">
      <c r="A71" s="6"/>
      <c r="E71" s="9"/>
      <c r="F71" s="9"/>
      <c r="G71" s="5"/>
      <c r="H71" s="7"/>
      <c r="I71" s="5"/>
      <c r="J71" s="7"/>
      <c r="K71" s="5"/>
      <c r="L71" s="5"/>
      <c r="M71" s="7"/>
      <c r="N71" s="5"/>
      <c r="O71" s="7"/>
      <c r="P71" s="5"/>
    </row>
    <row r="72" spans="1:16">
      <c r="A72" s="6"/>
      <c r="E72" s="9"/>
      <c r="F72" s="9"/>
      <c r="G72" s="5"/>
      <c r="H72" s="7"/>
      <c r="I72" s="5"/>
      <c r="J72" s="7"/>
      <c r="K72" s="5"/>
      <c r="L72" s="5"/>
      <c r="M72" s="7"/>
      <c r="N72" s="5"/>
      <c r="O72" s="7"/>
      <c r="P72" s="5"/>
    </row>
    <row r="73" spans="1:16">
      <c r="A73" s="6"/>
      <c r="E73" s="9"/>
      <c r="F73" s="9"/>
      <c r="G73" s="5"/>
      <c r="H73" s="7"/>
      <c r="I73" s="5"/>
      <c r="J73" s="7"/>
      <c r="K73" s="5"/>
      <c r="L73" s="5"/>
      <c r="M73" s="7"/>
      <c r="N73" s="5"/>
      <c r="O73" s="7"/>
      <c r="P73" s="5"/>
    </row>
    <row r="74" spans="1:16">
      <c r="A74" s="6"/>
      <c r="E74" s="9"/>
      <c r="F74" s="9"/>
      <c r="G74" s="5"/>
      <c r="H74" s="7"/>
      <c r="I74" s="5"/>
      <c r="J74" s="7"/>
      <c r="K74" s="5"/>
      <c r="L74" s="5"/>
      <c r="M74" s="7"/>
      <c r="N74" s="5"/>
      <c r="O74" s="7"/>
      <c r="P74" s="5"/>
    </row>
    <row r="75" spans="1:16">
      <c r="A75" s="6"/>
      <c r="E75" s="9"/>
      <c r="F75" s="9"/>
      <c r="G75" s="5"/>
      <c r="H75" s="7"/>
      <c r="I75" s="5"/>
      <c r="J75" s="7"/>
      <c r="K75" s="5"/>
      <c r="L75" s="5"/>
      <c r="M75" s="7"/>
      <c r="N75" s="5"/>
      <c r="O75" s="7"/>
      <c r="P75" s="5"/>
    </row>
    <row r="76" spans="1:16">
      <c r="A76" s="6"/>
      <c r="E76" s="9"/>
      <c r="F76" s="9"/>
      <c r="G76" s="5"/>
      <c r="H76" s="7"/>
      <c r="I76" s="5"/>
      <c r="J76" s="7"/>
      <c r="K76" s="5"/>
      <c r="L76" s="5"/>
      <c r="M76" s="7"/>
      <c r="N76" s="5"/>
      <c r="O76" s="7"/>
      <c r="P76" s="5"/>
    </row>
    <row r="77" spans="1:16">
      <c r="A77" s="6"/>
      <c r="E77" s="9"/>
      <c r="F77" s="9"/>
      <c r="G77" s="5"/>
      <c r="H77" s="7"/>
      <c r="I77" s="5"/>
      <c r="J77" s="7"/>
      <c r="K77" s="5"/>
      <c r="L77" s="5"/>
      <c r="M77" s="7"/>
      <c r="N77" s="5"/>
      <c r="O77" s="7"/>
      <c r="P77" s="5"/>
    </row>
    <row r="78" spans="1:16">
      <c r="A78" s="6"/>
      <c r="E78" s="9"/>
      <c r="F78" s="9"/>
      <c r="G78" s="5"/>
      <c r="H78" s="7"/>
      <c r="I78" s="5"/>
      <c r="J78" s="7"/>
      <c r="K78" s="5"/>
      <c r="L78" s="5"/>
      <c r="M78" s="7"/>
      <c r="N78" s="5"/>
      <c r="O78" s="7"/>
      <c r="P78" s="5"/>
    </row>
    <row r="79" spans="1:16">
      <c r="A79" s="6"/>
      <c r="E79" s="9"/>
      <c r="F79" s="9"/>
      <c r="G79" s="5"/>
      <c r="H79" s="7"/>
      <c r="I79" s="5"/>
      <c r="J79" s="7"/>
      <c r="K79" s="5"/>
      <c r="L79" s="5"/>
      <c r="M79" s="7"/>
      <c r="N79" s="5"/>
      <c r="O79" s="7"/>
      <c r="P79" s="5"/>
    </row>
    <row r="80" spans="1:16">
      <c r="A80" s="6"/>
      <c r="E80" s="9"/>
      <c r="F80" s="9"/>
      <c r="G80" s="5"/>
      <c r="H80" s="7"/>
      <c r="I80" s="5"/>
      <c r="J80" s="7"/>
      <c r="K80" s="5"/>
      <c r="L80" s="5"/>
      <c r="M80" s="7"/>
      <c r="N80" s="5"/>
      <c r="O80" s="7"/>
      <c r="P80" s="5"/>
    </row>
    <row r="81" spans="1:16">
      <c r="A81" s="6"/>
      <c r="E81" s="9"/>
      <c r="F81" s="9"/>
      <c r="G81" s="5"/>
      <c r="H81" s="7"/>
      <c r="I81" s="5"/>
      <c r="J81" s="7"/>
      <c r="K81" s="5"/>
      <c r="L81" s="5"/>
      <c r="M81" s="7"/>
      <c r="N81" s="5"/>
      <c r="O81" s="7"/>
      <c r="P81" s="5"/>
    </row>
    <row r="82" spans="1:16">
      <c r="A82" s="6"/>
      <c r="E82" s="9"/>
      <c r="F82" s="9"/>
      <c r="G82" s="5"/>
      <c r="H82" s="7"/>
      <c r="I82" s="5"/>
      <c r="J82" s="7"/>
      <c r="K82" s="5"/>
      <c r="L82" s="5"/>
      <c r="M82" s="7"/>
      <c r="N82" s="5"/>
      <c r="O82" s="7"/>
      <c r="P82" s="5"/>
    </row>
    <row r="83" spans="1:16">
      <c r="A83" s="6"/>
      <c r="E83" s="9"/>
      <c r="F83" s="9"/>
      <c r="G83" s="5"/>
      <c r="H83" s="7"/>
      <c r="I83" s="5"/>
      <c r="J83" s="7"/>
      <c r="K83" s="5"/>
      <c r="L83" s="5"/>
      <c r="M83" s="7"/>
      <c r="N83" s="5"/>
      <c r="O83" s="7"/>
      <c r="P83" s="5"/>
    </row>
    <row r="84" spans="1:16">
      <c r="A84" s="6"/>
      <c r="E84" s="9"/>
      <c r="F84" s="9"/>
      <c r="G84" s="5"/>
      <c r="H84" s="7"/>
      <c r="I84" s="5"/>
      <c r="J84" s="7"/>
      <c r="K84" s="5"/>
      <c r="L84" s="5"/>
      <c r="M84" s="7"/>
      <c r="N84" s="5"/>
      <c r="O84" s="7"/>
      <c r="P84" s="5"/>
    </row>
    <row r="85" spans="1:16">
      <c r="A85" s="6"/>
      <c r="E85" s="9"/>
      <c r="F85" s="9"/>
      <c r="G85" s="5"/>
      <c r="H85" s="7"/>
      <c r="I85" s="5"/>
      <c r="J85" s="7"/>
      <c r="K85" s="5"/>
      <c r="L85" s="5"/>
      <c r="M85" s="7"/>
      <c r="N85" s="5"/>
      <c r="O85" s="7"/>
      <c r="P85" s="5"/>
    </row>
    <row r="86" spans="1:16">
      <c r="A86" s="6"/>
      <c r="E86" s="9"/>
      <c r="F86" s="9"/>
      <c r="G86" s="5"/>
      <c r="H86" s="7"/>
      <c r="I86" s="5"/>
      <c r="J86" s="7"/>
      <c r="K86" s="5"/>
      <c r="L86" s="5"/>
      <c r="M86" s="7"/>
      <c r="N86" s="5"/>
      <c r="O86" s="7"/>
      <c r="P86" s="5"/>
    </row>
    <row r="87" spans="1:16">
      <c r="A87" s="6"/>
      <c r="E87" s="9"/>
      <c r="F87" s="9"/>
      <c r="G87" s="5"/>
      <c r="H87" s="7"/>
      <c r="I87" s="5"/>
      <c r="J87" s="7"/>
      <c r="K87" s="5"/>
      <c r="L87" s="5"/>
      <c r="M87" s="7"/>
      <c r="N87" s="5"/>
      <c r="O87" s="7"/>
      <c r="P87" s="5"/>
    </row>
    <row r="88" spans="1:16">
      <c r="A88" s="6"/>
      <c r="E88" s="9"/>
      <c r="F88" s="9"/>
      <c r="G88" s="5"/>
      <c r="H88" s="7"/>
      <c r="I88" s="5"/>
      <c r="J88" s="7"/>
      <c r="K88" s="5"/>
      <c r="L88" s="5"/>
      <c r="M88" s="7"/>
      <c r="N88" s="5"/>
      <c r="O88" s="7"/>
      <c r="P88" s="5"/>
    </row>
    <row r="89" spans="1:16">
      <c r="A89" s="6"/>
      <c r="E89" s="9"/>
      <c r="F89" s="9"/>
      <c r="G89" s="5"/>
      <c r="H89" s="7"/>
      <c r="I89" s="5"/>
      <c r="J89" s="7"/>
      <c r="K89" s="5"/>
      <c r="L89" s="5"/>
      <c r="M89" s="7"/>
      <c r="N89" s="5"/>
      <c r="O89" s="7"/>
      <c r="P89" s="5"/>
    </row>
    <row r="90" spans="1:16">
      <c r="A90" s="6"/>
      <c r="E90" s="9"/>
      <c r="F90" s="9"/>
      <c r="G90" s="5"/>
      <c r="H90" s="7"/>
      <c r="I90" s="5"/>
      <c r="J90" s="7"/>
      <c r="K90" s="5"/>
      <c r="L90" s="5"/>
      <c r="M90" s="7"/>
      <c r="N90" s="5"/>
      <c r="O90" s="7"/>
      <c r="P90" s="5"/>
    </row>
    <row r="91" spans="1:16">
      <c r="A91" s="6"/>
      <c r="E91" s="9"/>
      <c r="F91" s="9"/>
      <c r="G91" s="5"/>
      <c r="H91" s="7"/>
      <c r="I91" s="5"/>
      <c r="J91" s="7"/>
      <c r="K91" s="5"/>
      <c r="L91" s="5"/>
      <c r="M91" s="7"/>
      <c r="N91" s="5"/>
      <c r="O91" s="7"/>
      <c r="P91" s="5"/>
    </row>
    <row r="92" spans="1:16">
      <c r="A92" s="6"/>
      <c r="E92" s="9"/>
      <c r="F92" s="9"/>
      <c r="G92" s="5"/>
      <c r="H92" s="7"/>
      <c r="I92" s="5"/>
      <c r="J92" s="7"/>
      <c r="K92" s="5"/>
      <c r="L92" s="5"/>
      <c r="M92" s="7"/>
      <c r="N92" s="5"/>
      <c r="O92" s="7"/>
      <c r="P92" s="5"/>
    </row>
    <row r="93" spans="1:16">
      <c r="A93" s="6"/>
      <c r="E93" s="9"/>
      <c r="F93" s="9"/>
      <c r="G93" s="5"/>
      <c r="H93" s="7"/>
      <c r="I93" s="5"/>
      <c r="J93" s="7"/>
      <c r="K93" s="5"/>
      <c r="L93" s="5"/>
      <c r="M93" s="7"/>
      <c r="N93" s="5"/>
      <c r="O93" s="7"/>
      <c r="P93" s="5"/>
    </row>
    <row r="94" spans="1:16">
      <c r="A94" s="6"/>
      <c r="E94" s="9"/>
      <c r="F94" s="9"/>
      <c r="G94" s="5"/>
      <c r="H94" s="7"/>
      <c r="I94" s="5"/>
      <c r="J94" s="7"/>
      <c r="K94" s="5"/>
      <c r="L94" s="5"/>
      <c r="M94" s="7"/>
      <c r="N94" s="5"/>
      <c r="O94" s="7"/>
      <c r="P94" s="5"/>
    </row>
    <row r="95" spans="1:16">
      <c r="A95" s="6"/>
      <c r="E95" s="9"/>
      <c r="F95" s="9"/>
      <c r="G95" s="5"/>
      <c r="H95" s="7"/>
      <c r="I95" s="5"/>
      <c r="J95" s="7"/>
      <c r="K95" s="5"/>
      <c r="L95" s="5"/>
      <c r="M95" s="7"/>
      <c r="N95" s="5"/>
      <c r="O95" s="7"/>
      <c r="P95" s="5"/>
    </row>
    <row r="96" spans="1:16">
      <c r="A96" s="6"/>
      <c r="E96" s="9"/>
      <c r="F96" s="9"/>
      <c r="G96" s="5"/>
      <c r="H96" s="7"/>
      <c r="I96" s="5"/>
      <c r="J96" s="7"/>
      <c r="K96" s="5"/>
      <c r="L96" s="5"/>
      <c r="M96" s="7"/>
      <c r="N96" s="5"/>
      <c r="O96" s="7"/>
      <c r="P96" s="5"/>
    </row>
    <row r="97" spans="1:18">
      <c r="A97" s="6"/>
      <c r="E97" s="9"/>
      <c r="F97" s="9"/>
      <c r="G97" s="5"/>
      <c r="H97" s="7"/>
      <c r="I97" s="5"/>
      <c r="J97" s="7"/>
      <c r="K97" s="5"/>
      <c r="L97" s="5"/>
      <c r="M97" s="7"/>
      <c r="N97" s="5"/>
      <c r="O97" s="7"/>
      <c r="P97" s="5"/>
    </row>
    <row r="98" spans="1:18">
      <c r="A98" s="6"/>
      <c r="E98" s="9"/>
      <c r="F98" s="9"/>
      <c r="G98" s="5"/>
      <c r="H98" s="7"/>
      <c r="I98" s="5"/>
      <c r="J98" s="7"/>
      <c r="K98" s="5"/>
      <c r="L98" s="5"/>
      <c r="M98" s="7"/>
      <c r="N98" s="5"/>
      <c r="O98" s="7"/>
      <c r="P98" s="5"/>
    </row>
    <row r="99" spans="1:18">
      <c r="A99" s="6"/>
      <c r="E99" s="9"/>
      <c r="F99" s="9"/>
      <c r="G99" s="5"/>
      <c r="H99" s="7"/>
      <c r="I99" s="5"/>
      <c r="J99" s="7"/>
      <c r="K99" s="5"/>
      <c r="L99" s="5"/>
      <c r="M99" s="7"/>
      <c r="N99" s="5"/>
      <c r="O99" s="7"/>
      <c r="P99" s="5"/>
    </row>
    <row r="100" spans="1:18">
      <c r="A100" s="6"/>
      <c r="E100" s="9"/>
      <c r="F100" s="9"/>
      <c r="G100" s="5"/>
      <c r="H100" s="7"/>
      <c r="I100" s="5"/>
      <c r="J100" s="7"/>
      <c r="K100" s="5"/>
      <c r="L100" s="5"/>
      <c r="M100" s="7"/>
      <c r="N100" s="5"/>
      <c r="O100" s="7"/>
      <c r="P100" s="5"/>
    </row>
    <row r="101" spans="1:18">
      <c r="A101" s="6"/>
      <c r="E101" s="9"/>
      <c r="F101" s="9"/>
      <c r="G101" s="5"/>
      <c r="H101" s="7"/>
      <c r="I101" s="5"/>
      <c r="J101" s="7"/>
      <c r="K101" s="5"/>
      <c r="L101" s="5"/>
      <c r="M101" s="7"/>
      <c r="N101" s="5"/>
      <c r="O101" s="7"/>
      <c r="P101" s="5"/>
    </row>
    <row r="102" spans="1:18">
      <c r="A102" s="6" t="s">
        <v>4</v>
      </c>
      <c r="E102" s="9">
        <f>SUBTOTAL(109,Tabela1[Prova Objetiva])</f>
        <v>0</v>
      </c>
      <c r="F102" s="9">
        <f>SUBTOTAL(109,Tabela1[Alunos Homologados])</f>
        <v>0</v>
      </c>
      <c r="G102" s="5">
        <f>SUBTOTAL(109,Tabela1[Provas Aplicadas])</f>
        <v>0</v>
      </c>
      <c r="H102" s="8" t="e">
        <f>SUBTOTAL(101,Tabela1[Provas Aplicadas (%)])</f>
        <v>#DIV/0!</v>
      </c>
      <c r="I102" s="5">
        <f>SUBTOTAL(109,Tabela1[Provas Não Aplicadas])</f>
        <v>0</v>
      </c>
      <c r="J102" s="8" t="e">
        <f>SUBTOTAL(101,Tabela1[Provas Não Aplicadas (%)])</f>
        <v>#DIV/0!</v>
      </c>
      <c r="K102" s="5">
        <f>SUBTOTAL(109,Tabela1[Total de Provas Geradas])</f>
        <v>0</v>
      </c>
      <c r="L102" s="5">
        <f>SUBTOTAL(109,Tabela1[Tabulação Feita])</f>
        <v>0</v>
      </c>
      <c r="M102" s="8" t="e">
        <f>SUBTOTAL(101,Tabela1[Tabulação Feita (%)])</f>
        <v>#DIV/0!</v>
      </c>
      <c r="N102" s="5">
        <f>SUBTOTAL(109,Tabela1[Tabulação Pendente])</f>
        <v>0</v>
      </c>
      <c r="O102" s="8" t="e">
        <f>SUBTOTAL(101,Tabela1[Tabulação Pendente (%)])</f>
        <v>#DIV/0!</v>
      </c>
      <c r="P102" s="5">
        <f>SUBTOTAL(109,Tabela1[Total de Tabulação])</f>
        <v>0</v>
      </c>
      <c r="Q102" s="9">
        <f>SUBTOTAL(109,Tabela1[Confirmação Feita])</f>
        <v>0</v>
      </c>
      <c r="R102" s="9">
        <f>SUBTOTAL(109,Tabela1[Confirmação Pendente])</f>
        <v>0</v>
      </c>
    </row>
    <row r="103" spans="1:18">
      <c r="G103" t="s">
        <v>62</v>
      </c>
      <c r="K103" t="s">
        <v>63</v>
      </c>
    </row>
  </sheetData>
  <dataValidations count="5">
    <dataValidation type="list" allowBlank="1" showInputMessage="1" showErrorMessage="1" sqref="B1 B103:B1048576 B4:B13 B15:B19 B22:B27 B29:B30 B32:B37 B39:B47 B49:B52 B54:B60 B62:B67 B69:B88 B91:B96 B98:B100" xr:uid="{CCE2F411-3D4E-4C20-95C2-F3AEFD0D73D9}">
      <formula1>"SENAI Alagoinhas, SENAI Barreiras, SENAI CAMAÇARI, SENAI CIMATEC, SENAI Dendezeiros, SENAI Feira de Santana, SENAI Ilhéus, SENAI Lauro de Freitas, SENAI Juazeiro, SENAI Luis Eduardo Magalhães, SENAI Vitória da Conquista"</formula1>
    </dataValidation>
    <dataValidation type="list" allowBlank="1" showInputMessage="1" showErrorMessage="1" sqref="D2:D101" xr:uid="{980F7BB0-9DA5-428F-8CF8-F5104136F824}">
      <formula1>"Presencial, Semipresencial"</formula1>
    </dataValidation>
    <dataValidation type="list" allowBlank="1" showInputMessage="1" showErrorMessage="1" sqref="C2:C101" xr:uid="{18EBE727-A9DC-4494-89F1-C05A25D23F30}">
      <formula1>INDIRECT(NomedoIntervalo)</formula1>
    </dataValidation>
    <dataValidation type="list" allowBlank="1" showInputMessage="1" showErrorMessage="1" sqref="B3 B14 B21 B28 B31 B38 B48 B53 B61 B68 B89:B90 B97" xr:uid="{F8BA920D-97B5-4FFC-8C13-03E7084D0F51}">
      <formula1>"SENAI Alagoinhas, SENAI Barreiras, SENAI Camaçari, SENAI CIMATEC, SENAI Dendezeiros, SENAI Feira de Santana, SENAI Ilhéus, SENAI Lauro de Freitas, SENAI Juazeiro, SENAI Luis Eduardo Magalhães, SENAI Vitória da Conquista"</formula1>
    </dataValidation>
    <dataValidation type="list" allowBlank="1" showInputMessage="1" showErrorMessage="1" sqref="B20 B101" xr:uid="{5CBBF58B-FD6A-4166-BA93-ADAC6E75E9A0}">
      <formula1>"SENAI Alagoinhas, SENAI Barreiras, SENAI CAMAÇARI, SENAI CIMATEC, SENAI Dendezeiros, SENAI Feira de Santana, SENAI Ilhéus, SENAI Lauro de Freitas, SENAI Juazeiro, SENAI Luís Eduardo Magalhães, SENAI Vitória da Conquista"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58B277-F3C9-4A55-9227-91F749F8336E}">
          <x14:formula1>
            <xm:f>'Listagem de dados '!$A$1:$K$1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F937-AA2A-40C8-A645-EA1758910254}">
  <sheetPr codeName="Planilha4"/>
  <dimension ref="A1:L15"/>
  <sheetViews>
    <sheetView workbookViewId="0">
      <selection activeCell="K2" sqref="K2"/>
    </sheetView>
  </sheetViews>
  <sheetFormatPr defaultRowHeight="15"/>
  <cols>
    <col min="1" max="1" width="41.42578125" customWidth="1"/>
    <col min="2" max="2" width="37.140625" customWidth="1"/>
    <col min="3" max="3" width="45.140625" customWidth="1"/>
    <col min="4" max="4" width="43.7109375" customWidth="1"/>
    <col min="5" max="5" width="49.28515625" customWidth="1"/>
    <col min="6" max="6" width="46.85546875" customWidth="1"/>
    <col min="7" max="7" width="50.7109375" customWidth="1"/>
    <col min="8" max="8" width="48.42578125" customWidth="1"/>
    <col min="9" max="9" width="36.7109375" customWidth="1"/>
    <col min="10" max="10" width="35.42578125" customWidth="1"/>
    <col min="11" max="11" width="33.5703125" customWidth="1"/>
    <col min="12" max="12" width="31.140625" customWidth="1"/>
    <col min="13" max="13" width="26.5703125" customWidth="1"/>
    <col min="14" max="14" width="14.28515625" customWidth="1"/>
  </cols>
  <sheetData>
    <row r="1" spans="1:12">
      <c r="A1" s="2" t="s">
        <v>7</v>
      </c>
      <c r="B1" s="2" t="s">
        <v>8</v>
      </c>
      <c r="C1" s="2" t="s">
        <v>5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</row>
    <row r="2" spans="1:12">
      <c r="A2" s="12" t="s">
        <v>66</v>
      </c>
      <c r="B2" s="12" t="s">
        <v>66</v>
      </c>
      <c r="C2" s="12" t="s">
        <v>66</v>
      </c>
      <c r="D2" s="12" t="s">
        <v>66</v>
      </c>
      <c r="E2" s="12" t="s">
        <v>66</v>
      </c>
      <c r="F2" s="12" t="s">
        <v>66</v>
      </c>
      <c r="G2" s="12" t="s">
        <v>66</v>
      </c>
      <c r="H2" s="3" t="s">
        <v>17</v>
      </c>
      <c r="I2" s="3" t="s">
        <v>66</v>
      </c>
      <c r="J2" s="3" t="s">
        <v>17</v>
      </c>
      <c r="K2" s="3" t="s">
        <v>66</v>
      </c>
    </row>
    <row r="3" spans="1:12">
      <c r="A3" s="3" t="s">
        <v>6</v>
      </c>
      <c r="B3" s="3" t="s">
        <v>19</v>
      </c>
      <c r="C3" s="3" t="s">
        <v>6</v>
      </c>
      <c r="D3" s="3" t="s">
        <v>40</v>
      </c>
      <c r="E3" s="3" t="s">
        <v>6</v>
      </c>
      <c r="F3" s="3" t="s">
        <v>6</v>
      </c>
      <c r="G3" s="3" t="s">
        <v>39</v>
      </c>
      <c r="H3" s="3" t="s">
        <v>19</v>
      </c>
      <c r="I3" s="3" t="s">
        <v>6</v>
      </c>
      <c r="J3" s="3" t="s">
        <v>19</v>
      </c>
      <c r="K3" s="3" t="s">
        <v>17</v>
      </c>
    </row>
    <row r="4" spans="1:12">
      <c r="A4" s="3" t="s">
        <v>18</v>
      </c>
      <c r="B4" s="3" t="s">
        <v>21</v>
      </c>
      <c r="C4" s="3" t="s">
        <v>18</v>
      </c>
      <c r="D4" s="3" t="s">
        <v>38</v>
      </c>
      <c r="E4" s="3" t="s">
        <v>18</v>
      </c>
      <c r="F4" s="3" t="s">
        <v>38</v>
      </c>
      <c r="G4" s="3" t="s">
        <v>17</v>
      </c>
      <c r="H4" s="3" t="s">
        <v>21</v>
      </c>
      <c r="I4" s="3" t="s">
        <v>18</v>
      </c>
      <c r="J4" s="3" t="s">
        <v>22</v>
      </c>
      <c r="K4" s="3" t="s">
        <v>19</v>
      </c>
    </row>
    <row r="5" spans="1:12">
      <c r="A5" s="3" t="s">
        <v>17</v>
      </c>
      <c r="B5" s="3" t="s">
        <v>22</v>
      </c>
      <c r="C5" s="3" t="s">
        <v>17</v>
      </c>
      <c r="D5" s="3" t="s">
        <v>19</v>
      </c>
      <c r="E5" s="3" t="s">
        <v>38</v>
      </c>
      <c r="F5" s="3" t="s">
        <v>17</v>
      </c>
      <c r="G5" s="3" t="s">
        <v>19</v>
      </c>
      <c r="H5" s="3" t="s">
        <v>22</v>
      </c>
      <c r="I5" s="3" t="s">
        <v>17</v>
      </c>
      <c r="K5" s="3" t="s">
        <v>21</v>
      </c>
    </row>
    <row r="6" spans="1:12">
      <c r="A6" s="3" t="s">
        <v>19</v>
      </c>
      <c r="B6" s="3"/>
      <c r="C6" s="3" t="s">
        <v>19</v>
      </c>
      <c r="D6" s="3" t="s">
        <v>41</v>
      </c>
      <c r="E6" s="3" t="s">
        <v>17</v>
      </c>
      <c r="F6" s="3" t="s">
        <v>19</v>
      </c>
      <c r="G6" s="3" t="s">
        <v>21</v>
      </c>
      <c r="I6" s="3" t="s">
        <v>19</v>
      </c>
      <c r="K6" s="3" t="s">
        <v>37</v>
      </c>
    </row>
    <row r="7" spans="1:12">
      <c r="A7" s="3" t="s">
        <v>20</v>
      </c>
      <c r="C7" s="3" t="s">
        <v>20</v>
      </c>
      <c r="D7" s="3" t="s">
        <v>42</v>
      </c>
      <c r="E7" s="3" t="s">
        <v>19</v>
      </c>
      <c r="F7" s="3" t="s">
        <v>20</v>
      </c>
      <c r="G7" s="3" t="s">
        <v>22</v>
      </c>
      <c r="I7" s="3" t="s">
        <v>20</v>
      </c>
    </row>
    <row r="8" spans="1:12">
      <c r="A8" s="3" t="s">
        <v>23</v>
      </c>
      <c r="C8" s="3" t="s">
        <v>21</v>
      </c>
      <c r="D8" s="3" t="s">
        <v>20</v>
      </c>
      <c r="E8" s="3" t="s">
        <v>20</v>
      </c>
      <c r="F8" s="3" t="s">
        <v>43</v>
      </c>
      <c r="I8" s="3" t="s">
        <v>47</v>
      </c>
    </row>
    <row r="9" spans="1:12">
      <c r="A9" s="3" t="s">
        <v>22</v>
      </c>
      <c r="C9" s="3" t="s">
        <v>37</v>
      </c>
      <c r="D9" s="3" t="s">
        <v>43</v>
      </c>
      <c r="E9" s="3" t="s">
        <v>43</v>
      </c>
      <c r="F9" s="3" t="s">
        <v>44</v>
      </c>
      <c r="I9" s="3" t="s">
        <v>21</v>
      </c>
    </row>
    <row r="10" spans="1:12">
      <c r="C10" s="3" t="s">
        <v>22</v>
      </c>
      <c r="D10" s="3" t="s">
        <v>44</v>
      </c>
      <c r="E10" s="3" t="s">
        <v>21</v>
      </c>
      <c r="F10" s="3" t="s">
        <v>21</v>
      </c>
      <c r="I10" s="3" t="s">
        <v>37</v>
      </c>
    </row>
    <row r="11" spans="1:12">
      <c r="D11" s="3" t="s">
        <v>45</v>
      </c>
      <c r="E11" s="3" t="s">
        <v>48</v>
      </c>
      <c r="F11" s="3" t="s">
        <v>37</v>
      </c>
      <c r="I11" s="3" t="s">
        <v>23</v>
      </c>
    </row>
    <row r="12" spans="1:12">
      <c r="A12" s="2"/>
      <c r="D12" t="s">
        <v>46</v>
      </c>
      <c r="E12" t="s">
        <v>49</v>
      </c>
      <c r="F12" s="3" t="s">
        <v>23</v>
      </c>
      <c r="G12" s="3"/>
      <c r="I12" s="3" t="s">
        <v>49</v>
      </c>
      <c r="L12" s="3"/>
    </row>
    <row r="13" spans="1:12">
      <c r="A13" s="2"/>
      <c r="D13" t="s">
        <v>47</v>
      </c>
      <c r="E13" t="s">
        <v>22</v>
      </c>
      <c r="F13" s="3" t="s">
        <v>22</v>
      </c>
      <c r="G13" s="3"/>
      <c r="H13" s="3"/>
      <c r="I13" s="3" t="s">
        <v>22</v>
      </c>
      <c r="L13" s="3"/>
    </row>
    <row r="14" spans="1:12">
      <c r="A14" s="2"/>
      <c r="D14" t="s">
        <v>48</v>
      </c>
      <c r="F14" s="3" t="s">
        <v>48</v>
      </c>
      <c r="G14" s="3"/>
      <c r="H14" s="3"/>
    </row>
    <row r="15" spans="1:12">
      <c r="D15" t="s">
        <v>49</v>
      </c>
      <c r="F15" s="3" t="s">
        <v>49</v>
      </c>
      <c r="G15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B266-B9CE-4F84-8A57-70C5067F6E6B}">
  <sheetPr codeName="Planilha3"/>
  <dimension ref="A1:B12"/>
  <sheetViews>
    <sheetView workbookViewId="0">
      <selection activeCell="E24" sqref="E24"/>
    </sheetView>
  </sheetViews>
  <sheetFormatPr defaultRowHeight="15"/>
  <cols>
    <col min="1" max="1" width="28.5703125" customWidth="1"/>
    <col min="2" max="2" width="20" customWidth="1"/>
    <col min="7" max="7" width="11.5703125" customWidth="1"/>
  </cols>
  <sheetData>
    <row r="1" spans="1:2">
      <c r="A1" t="s">
        <v>24</v>
      </c>
      <c r="B1" t="s">
        <v>25</v>
      </c>
    </row>
    <row r="2" spans="1:2">
      <c r="A2" t="s">
        <v>7</v>
      </c>
      <c r="B2" t="s">
        <v>26</v>
      </c>
    </row>
    <row r="3" spans="1:2">
      <c r="A3" t="s">
        <v>8</v>
      </c>
      <c r="B3" s="4" t="s">
        <v>27</v>
      </c>
    </row>
    <row r="4" spans="1:2">
      <c r="A4" t="s">
        <v>5</v>
      </c>
      <c r="B4" s="4" t="s">
        <v>28</v>
      </c>
    </row>
    <row r="5" spans="1:2">
      <c r="A5" t="s">
        <v>9</v>
      </c>
      <c r="B5" s="4" t="s">
        <v>29</v>
      </c>
    </row>
    <row r="6" spans="1:2">
      <c r="A6" t="s">
        <v>10</v>
      </c>
      <c r="B6" s="4" t="s">
        <v>30</v>
      </c>
    </row>
    <row r="7" spans="1:2">
      <c r="A7" t="s">
        <v>11</v>
      </c>
      <c r="B7" s="4" t="s">
        <v>31</v>
      </c>
    </row>
    <row r="8" spans="1:2">
      <c r="A8" t="s">
        <v>12</v>
      </c>
      <c r="B8" s="4" t="s">
        <v>32</v>
      </c>
    </row>
    <row r="9" spans="1:2">
      <c r="A9" t="s">
        <v>13</v>
      </c>
      <c r="B9" s="4" t="s">
        <v>33</v>
      </c>
    </row>
    <row r="10" spans="1:2">
      <c r="A10" t="s">
        <v>14</v>
      </c>
      <c r="B10" s="4" t="s">
        <v>34</v>
      </c>
    </row>
    <row r="11" spans="1:2">
      <c r="A11" t="s">
        <v>15</v>
      </c>
      <c r="B11" s="4" t="s">
        <v>35</v>
      </c>
    </row>
    <row r="12" spans="1:2">
      <c r="A12" t="s">
        <v>16</v>
      </c>
      <c r="B12" s="4" t="s">
        <v>36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0CCBE9-D021-4EEF-8798-6A0608E392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11</vt:i4>
      </vt:variant>
    </vt:vector>
  </HeadingPairs>
  <TitlesOfParts>
    <vt:vector size="14" baseType="lpstr">
      <vt:lpstr>Worksheet</vt:lpstr>
      <vt:lpstr>Listagem de dados </vt:lpstr>
      <vt:lpstr>Associação</vt:lpstr>
      <vt:lpstr>Alagoinhas</vt:lpstr>
      <vt:lpstr>Barreiras</vt:lpstr>
      <vt:lpstr>Camacari</vt:lpstr>
      <vt:lpstr>CIMATEC</vt:lpstr>
      <vt:lpstr>Dendezeiros</vt:lpstr>
      <vt:lpstr>Feira_de_Santana</vt:lpstr>
      <vt:lpstr>Ilheus</vt:lpstr>
      <vt:lpstr>Juazeiro</vt:lpstr>
      <vt:lpstr>Lauro_de_Freitas</vt:lpstr>
      <vt:lpstr>Luis_Eduardo</vt:lpstr>
      <vt:lpstr>Vitoria_da_Conquista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 Rodrigues Sampaio Temotio</cp:lastModifiedBy>
  <cp:revision/>
  <dcterms:created xsi:type="dcterms:W3CDTF">2026-06-15T13:41:42Z</dcterms:created>
  <dcterms:modified xsi:type="dcterms:W3CDTF">2026-09-30T13:55:53Z</dcterms:modified>
  <cp:category/>
  <cp:contentStatus/>
</cp:coreProperties>
</file>